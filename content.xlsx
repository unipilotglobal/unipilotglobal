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1856" tabRatio="600" firstSheet="0" activeTab="7" autoFilterDateGrouping="1"/>
  </bookViews>
  <sheets>
    <sheet xmlns:r="http://schemas.openxmlformats.org/officeDocument/2006/relationships" name="READ ME FIRST" sheetId="1" state="visible" r:id="rId1"/>
    <sheet xmlns:r="http://schemas.openxmlformats.org/officeDocument/2006/relationships" name="Opportunities" sheetId="2" state="visible" r:id="rId2"/>
    <sheet xmlns:r="http://schemas.openxmlformats.org/officeDocument/2006/relationships" name="Seminars" sheetId="3" state="visible" r:id="rId3"/>
    <sheet xmlns:r="http://schemas.openxmlformats.org/officeDocument/2006/relationships" name="News" sheetId="4" state="visible" r:id="rId4"/>
    <sheet xmlns:r="http://schemas.openxmlformats.org/officeDocument/2006/relationships" name="Videos" sheetId="5" state="visible" r:id="rId5"/>
    <sheet xmlns:r="http://schemas.openxmlformats.org/officeDocument/2006/relationships" name="Reviews" sheetId="6" state="visible" r:id="rId6"/>
    <sheet xmlns:r="http://schemas.openxmlformats.org/officeDocument/2006/relationships" name="Materials" sheetId="7" state="visible" r:id="rId7"/>
    <sheet xmlns:r="http://schemas.openxmlformats.org/officeDocument/2006/relationships" name="Experts" sheetId="8" state="visible" r:id="rId8"/>
    <sheet xmlns:r="http://schemas.openxmlformats.org/officeDocument/2006/relationships" name="Visa" sheetId="9" state="visible" r:id="rId9"/>
    <sheet xmlns:r="http://schemas.openxmlformats.org/officeDocument/2006/relationships" name="Settings" sheetId="10" state="visible" r:id="rId10"/>
  </sheets>
  <definedNames/>
  <calcPr calcId="162913" fullCalcOnLoad="1"/>
</workbook>
</file>

<file path=xl/styles.xml><?xml version="1.0" encoding="utf-8"?>
<styleSheet xmlns="http://schemas.openxmlformats.org/spreadsheetml/2006/main">
  <numFmts count="1">
    <numFmt numFmtId="164" formatCode="yyyy\-mm\-dd"/>
  </numFmts>
  <fonts count="3">
    <font>
      <name val="Calibri"/>
      <family val="2"/>
      <color theme="1"/>
      <sz val="11"/>
      <scheme val="minor"/>
    </font>
    <font>
      <name val="Calibri"/>
      <family val="2"/>
      <b val="1"/>
      <color rgb="FF0B1B34"/>
      <sz val="16"/>
    </font>
    <font>
      <name val="Calibri"/>
      <family val="2"/>
      <b val="1"/>
      <color rgb="FFFFFFFF"/>
      <sz val="11"/>
    </font>
  </fonts>
  <fills count="3">
    <fill>
      <patternFill/>
    </fill>
    <fill>
      <patternFill patternType="gray125"/>
    </fill>
    <fill>
      <patternFill patternType="solid">
        <fgColor rgb="FF0B1B34"/>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pivotButton="0" quotePrefix="0" xfId="0"/>
    <xf numFmtId="0" fontId="0" fillId="0" borderId="0" pivotButton="0" quotePrefix="0" xfId="0"/>
    <xf numFmtId="0" fontId="0" fillId="0" borderId="0" applyAlignment="1" pivotButton="0" quotePrefix="0" xfId="0">
      <alignment vertical="top" wrapText="1"/>
    </xf>
  </cellXfs>
  <cellStyles count="1">
    <cellStyle name="Normal" xfId="0" builtinId="0"/>
  </cellStyles>
  <dxfs count="1">
    <dxf>
      <font>
        <b val="1"/>
        <color rgb="FF9B1C1C"/>
      </font>
      <fill>
        <patternFill patternType="solid">
          <fgColor rgb="FFF8B4B4"/>
          <bgColor rgb="FFF8B4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5"/>
  <sheetViews>
    <sheetView workbookViewId="0">
      <selection activeCell="A1" sqref="A1"/>
    </sheetView>
  </sheetViews>
  <sheetFormatPr baseColWidth="8" defaultRowHeight="14.4"/>
  <cols>
    <col width="150" customWidth="1" style="6" min="1" max="1"/>
  </cols>
  <sheetData>
    <row r="1" ht="21" customHeight="1" s="6">
      <c r="A1" s="1" t="inlineStr">
        <is>
          <t>UNIPILOT GLOBAL: your website's content file</t>
        </is>
      </c>
    </row>
    <row r="3">
      <c r="A3" t="inlineStr">
        <is>
          <t>HOW IT WORKS WITH GITHUB</t>
        </is>
      </c>
    </row>
    <row r="4">
      <c r="A4" t="inlineStr">
        <is>
          <t>This Excel file lives in your website's main folder on GitHub (content.xlsx).</t>
        </is>
      </c>
    </row>
    <row r="5">
      <c r="A5" t="inlineStr">
        <is>
          <t>Edit it on your computer, then upload it to GitHub again (replace the old file). The website reads it automatically, so everything you changed goes live in a few minutes. No coding.</t>
        </is>
      </c>
    </row>
    <row r="7">
      <c r="A7" t="inlineStr">
        <is>
          <t>ADD A NEW SCHOLARSHIP OR INTERNSHIP</t>
        </is>
      </c>
    </row>
    <row r="8">
      <c r="A8" t="inlineStr">
        <is>
          <t>1. Open the tab 'Opportunities'. Scroll to the first empty row.</t>
        </is>
      </c>
    </row>
    <row r="9">
      <c r="A9" t="inlineStr">
        <is>
          <t>2. Fill: Type (Scholarship or Internship), Name, Sponsor, Region, Levels, Award, Deadline, Eligibility.</t>
        </is>
      </c>
    </row>
    <row r="10">
      <c r="A10" t="inlineStr">
        <is>
          <t>3. Optional but powerful: YouTube (video link), Expert tips (separate tips with the | symbol), Price, Official link, Added on (today's date).</t>
        </is>
      </c>
    </row>
    <row r="11">
      <c r="A11" t="inlineStr">
        <is>
          <t>4. Leave Subjects, Host countries and Tags empty if unsure. The website works them out from the text.</t>
        </is>
      </c>
    </row>
    <row r="12">
      <c r="A12" t="inlineStr">
        <is>
          <t>5. Save the file and upload it to GitHub (data folder, replace content.xlsx).</t>
        </is>
      </c>
    </row>
    <row r="14">
      <c r="A14" t="inlineStr">
        <is>
          <t>SAME NAME TWICE? The website keeps ONE card per name. If you add a scholarship whose Name already exists, the newer row updates the older one (filled cells replace old ones, and Levels are combined).</t>
        </is>
      </c>
    </row>
    <row r="15">
      <c r="A15" t="inlineStr">
        <is>
          <t>The last column 'Duplicate?' and a red Name cell warn you when a name appears twice.</t>
        </is>
      </c>
    </row>
    <row r="17">
      <c r="A17" t="inlineStr">
        <is>
          <t>CLOSE OR HIDE: Status = Closed (stays, marked Closed) or Hidden (removed from the site). FEATURE: Featured = Yes.</t>
        </is>
      </c>
    </row>
    <row r="19">
      <c r="A19" t="inlineStr">
        <is>
          <t>OTHER TABS</t>
        </is>
      </c>
    </row>
    <row r="20">
      <c r="A20" t="inlineStr">
        <is>
          <t>Seminars: add each free seminar. Status = Upcoming, Past or Draft (Draft is not shown). Add a Cover photo (see the tab).</t>
        </is>
      </c>
    </row>
    <row r="21">
      <c r="A21" t="inlineStr">
        <is>
          <t>News: headline, category, summary. Pinned = Yes keeps it on top.</t>
        </is>
      </c>
    </row>
    <row r="22">
      <c r="A22" t="inlineStr">
        <is>
          <t>Videos: YouTube links for free guides.</t>
        </is>
      </c>
    </row>
    <row r="23">
      <c r="A23" t="inlineStr">
        <is>
          <t>Reviews: ONLY real student reviews you approved. Approved = Yes shows it on the website.</t>
        </is>
      </c>
    </row>
    <row r="24">
      <c r="A24" t="inlineStr">
        <is>
          <t>Experts: your field experts (Field, Name, Role, About, Photo).  Visa: add a country guide (Country, Visa type, Processing time as shown on the official site, Key documents separated by |, Official link, Notes, Last checked). Countries you add appear in the Visa &amp; Travel page.</t>
        </is>
      </c>
    </row>
    <row r="25">
      <c r="A25" t="inlineStr">
        <is>
          <t>Settings: WhatsApp, counter start (3000), years of experience, etc.</t>
        </is>
      </c>
    </row>
    <row r="27">
      <c r="A27" t="inlineStr">
        <is>
          <t>FORMATS: Levels: Bachelor | Master | PhD | Master, PhD.  Funding: Full | Stipend | Partial.  Documents: separate with |  e.g. Transcript | CV | 2 reference letters.  Dates: 2026-11-15 or a normal Excel date.</t>
        </is>
      </c>
    </row>
    <row r="29">
      <c r="A29" t="inlineStr">
        <is>
          <t>NEW: MATERIALS TAB</t>
        </is>
      </c>
    </row>
    <row r="30">
      <c r="A30" t="inlineStr">
        <is>
          <t>Free guides, templates and checklists. Columns: Title, Type, Description, Link (Google Drive share link or YouTube), Related scholarships (All, or scholarship names separated by |), Category, Added on, Featured, Status (Published to show).</t>
        </is>
      </c>
    </row>
    <row r="31">
      <c r="A31" t="inlineStr">
        <is>
          <t>IMAGES: put the picture in the website images folder, then write images/filename.jpg in the Cover photo or Photo cell (Seminars, Reviews, Experts).</t>
        </is>
      </c>
    </row>
    <row r="33">
      <c r="A33" t="inlineStr">
        <is>
          <t>MENTORS (Experts tab)</t>
        </is>
      </c>
    </row>
    <row r="34">
      <c r="A34" t="inlineStr">
        <is>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is>
      </c>
    </row>
    <row r="35">
      <c r="A35" t="inlineStr">
        <is>
          <t>PHOTO: write only the file name, for example ar1.jpeg, and put that file in the images folder of the website. Use the exact same spelling.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400"/>
  <sheetViews>
    <sheetView workbookViewId="0">
      <pane xSplit="2" ySplit="1" topLeftCell="C134" activePane="bottomRight" state="frozen"/>
      <selection pane="topRight" activeCell="A1" sqref="A1"/>
      <selection pane="bottomLeft" activeCell="A1" sqref="A1"/>
      <selection pane="bottomRight" activeCell="A172" sqref="A172"/>
    </sheetView>
  </sheetViews>
  <sheetFormatPr baseColWidth="8" defaultRowHeight="14.4"/>
  <cols>
    <col width="16" customWidth="1" style="6" min="1" max="1"/>
    <col width="18" customWidth="1" style="6" min="2" max="4"/>
    <col width="42" customWidth="1" style="6" min="5" max="5"/>
    <col width="30" customWidth="1" style="6" min="6" max="6"/>
    <col width="18" customWidth="1" style="6" min="7" max="7"/>
    <col width="22" customWidth="1" style="6" min="8" max="8"/>
    <col width="18" customWidth="1" style="6" min="9" max="9"/>
    <col width="26" customWidth="1" style="6" min="10" max="10"/>
    <col width="18" customWidth="1" style="6" min="11" max="11"/>
    <col width="40" customWidth="1" style="6" min="12" max="12"/>
    <col width="28" customWidth="1" style="6" min="13" max="13"/>
    <col width="48" customWidth="1" style="6" min="14" max="14"/>
    <col width="30" customWidth="1" style="6" min="15" max="15"/>
    <col width="32" customWidth="1" style="6" min="16" max="16"/>
    <col width="50" customWidth="1" style="6" min="17" max="18"/>
    <col width="40" customWidth="1" style="6" min="19" max="20"/>
    <col width="50" customWidth="1" style="6" min="21" max="21"/>
    <col width="30" customWidth="1" style="6" min="22" max="22"/>
    <col width="18" customWidth="1" style="6" min="23" max="28"/>
    <col width="14" customWidth="1" style="6" min="29" max="29"/>
  </cols>
  <sheetData>
    <row r="1">
      <c r="A1" s="2" t="inlineStr">
        <is>
          <t>ID</t>
        </is>
      </c>
      <c r="B1" s="2" t="inlineStr">
        <is>
          <t>Status</t>
        </is>
      </c>
      <c r="C1" s="2" t="inlineStr">
        <is>
          <t>Featured</t>
        </is>
      </c>
      <c r="D1" s="2" t="inlineStr">
        <is>
          <t>Type</t>
        </is>
      </c>
      <c r="E1" s="2" t="inlineStr">
        <is>
          <t>Name</t>
        </is>
      </c>
      <c r="F1" s="2" t="inlineStr">
        <is>
          <t>Sponsor</t>
        </is>
      </c>
      <c r="G1" s="2" t="inlineStr">
        <is>
          <t>Region</t>
        </is>
      </c>
      <c r="H1" s="2" t="inlineStr">
        <is>
          <t>Host countries</t>
        </is>
      </c>
      <c r="I1" s="2" t="inlineStr">
        <is>
          <t>Levels</t>
        </is>
      </c>
      <c r="J1" s="2" t="inlineStr">
        <is>
          <t>Subjects</t>
        </is>
      </c>
      <c r="K1" s="2" t="inlineStr">
        <is>
          <t>Funding</t>
        </is>
      </c>
      <c r="L1" s="2" t="inlineStr">
        <is>
          <t>Award</t>
        </is>
      </c>
      <c r="M1" s="2" t="inlineStr">
        <is>
          <t>Deadline</t>
        </is>
      </c>
      <c r="N1" s="2" t="inlineStr">
        <is>
          <t>Eligibility</t>
        </is>
      </c>
      <c r="O1" s="2" t="inlineStr">
        <is>
          <t>Effort</t>
        </is>
      </c>
      <c r="P1" s="2" t="inlineStr">
        <is>
          <t>Best for</t>
        </is>
      </c>
      <c r="Q1" s="2" t="inlineStr">
        <is>
          <t>Description</t>
        </is>
      </c>
      <c r="R1" s="2" t="inlineStr">
        <is>
          <t>Documents</t>
        </is>
      </c>
      <c r="S1" s="2" t="inlineStr">
        <is>
          <t>Selection</t>
        </is>
      </c>
      <c r="T1" s="2" t="inlineStr">
        <is>
          <t>Winners</t>
        </is>
      </c>
      <c r="U1" s="2" t="inlineStr">
        <is>
          <t>Expert tips</t>
        </is>
      </c>
      <c r="V1" s="2" t="inlineStr">
        <is>
          <t>Official link</t>
        </is>
      </c>
      <c r="W1" s="2" t="inlineStr">
        <is>
          <t>YouTube</t>
        </is>
      </c>
      <c r="X1" s="2" t="inlineStr">
        <is>
          <t>Price</t>
        </is>
      </c>
      <c r="Y1" s="2" t="inlineStr">
        <is>
          <t>Pay link</t>
        </is>
      </c>
      <c r="Z1" s="2" t="inlineStr">
        <is>
          <t>Tags</t>
        </is>
      </c>
      <c r="AA1" s="2" t="inlineStr">
        <is>
          <t>Added on</t>
        </is>
      </c>
      <c r="AB1" s="2" t="inlineStr">
        <is>
          <t>Verified on</t>
        </is>
      </c>
      <c r="AC1" s="2" t="inlineStr">
        <is>
          <t>Duplicate?</t>
        </is>
      </c>
    </row>
    <row r="2" ht="244.8" customHeight="1" s="6">
      <c r="A2" s="7" t="inlineStr">
        <is>
          <t>mastercard-foundation-scholars-program-bachelor</t>
        </is>
      </c>
      <c r="B2" s="7" t="inlineStr">
        <is>
          <t>Open</t>
        </is>
      </c>
      <c r="C2" s="7" t="n"/>
      <c r="D2" s="7" t="inlineStr">
        <is>
          <t>Scholarship</t>
        </is>
      </c>
      <c r="E2" s="7" t="inlineStr">
        <is>
          <t>Mastercard Foundation Scholars Program</t>
        </is>
      </c>
      <c r="F2" s="7" t="inlineStr">
        <is>
          <t>Mastercard Foundation &amp; Partner Universities: UCT, Ashesi, Makerere, KNUST, ALU, USIU-Africa</t>
        </is>
      </c>
      <c r="G2" s="7" t="inlineStr">
        <is>
          <t>Africa</t>
        </is>
      </c>
      <c r="H2" s="7" t="inlineStr">
        <is>
          <t>South Africa, Ghana, Uganda, Kenya</t>
        </is>
      </c>
      <c r="I2" s="7" t="inlineStr">
        <is>
          <t>Bachelor</t>
        </is>
      </c>
      <c r="J2" s="7" t="inlineStr">
        <is>
          <t>All fields</t>
        </is>
      </c>
      <c r="K2" s="7" t="inlineStr">
        <is>
          <t>Full</t>
        </is>
      </c>
      <c r="L2" s="7" t="inlineStr">
        <is>
          <t>Full Ride (100% Tuition, Housing, Stipend, Laptop, Books, Return Flights)</t>
        </is>
      </c>
      <c r="M2" s="7" t="inlineStr">
        <is>
          <t>Sep 30 – Nov 15, 2026 (Varies by host campus; e.g., UCT Undergrad: Sep 30; US/Global partners: Nov 15)</t>
        </is>
      </c>
      <c r="N2" s="7" t="inlineStr">
        <is>
          <t>African citizen; top 10% High School GPA; demonstrated high financial need; strong community leadership; typically under 29.</t>
        </is>
      </c>
      <c r="O2" s="7" t="inlineStr">
        <is>
          <t>High: Transcript + 2 Recommendation Letters + 3 Leadership/Impact Essays + Financial Need Proof</t>
        </is>
      </c>
      <c r="P2" s="7" t="inlineStr">
        <is>
          <t>Low-Income, First-Gen, High-GPA Community Leaders</t>
        </is>
      </c>
      <c r="Q2" s="7" t="inlineStr">
        <is>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is>
      </c>
      <c r="R2" s="7" t="inlineStr">
        <is>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is>
      </c>
      <c r="S2" s="7" t="n"/>
      <c r="T2" s="7" t="n"/>
      <c r="U2" s="7" t="n"/>
      <c r="V2" s="7" t="inlineStr">
        <is>
          <t>https://mastercardfdn.org/all/scholars/becoming-a-scholar/</t>
        </is>
      </c>
      <c r="W2" s="7" t="n"/>
      <c r="X2" s="7" t="n"/>
      <c r="Y2" s="7" t="n"/>
      <c r="Z2" s="7" t="inlineStr">
        <is>
          <t>Need-based</t>
        </is>
      </c>
      <c r="AA2" s="4" t="n"/>
      <c r="AB2" s="4" t="n"/>
      <c r="AC2" s="7">
        <f>IF(AND(E2&lt;&gt;"",COUNTIF($E$2:$E$800,E2)&gt;1),"DUPLICATE","")</f>
        <v/>
      </c>
    </row>
    <row r="3" ht="230.4" customHeight="1" s="6">
      <c r="A3" s="7" t="inlineStr">
        <is>
          <t>mauritius-africa-scholarship-scheme-mass-bachelor</t>
        </is>
      </c>
      <c r="B3" s="7" t="inlineStr">
        <is>
          <t>Open</t>
        </is>
      </c>
      <c r="C3" s="7" t="n"/>
      <c r="D3" s="7" t="inlineStr">
        <is>
          <t>Scholarship</t>
        </is>
      </c>
      <c r="E3" s="7" t="inlineStr">
        <is>
          <t>Mauritius–Africa Scholarship Scheme (MASS)</t>
        </is>
      </c>
      <c r="F3" s="7" t="inlineStr">
        <is>
          <t>Government of Mauritius</t>
        </is>
      </c>
      <c r="G3" s="7" t="inlineStr">
        <is>
          <t>Africa</t>
        </is>
      </c>
      <c r="H3" s="7" t="inlineStr">
        <is>
          <t>Mauritius</t>
        </is>
      </c>
      <c r="I3" s="7" t="inlineStr">
        <is>
          <t>Bachelor</t>
        </is>
      </c>
      <c r="J3" s="7" t="inlineStr">
        <is>
          <t>All fields</t>
        </is>
      </c>
      <c r="K3" s="7" t="inlineStr">
        <is>
          <t>Full</t>
        </is>
      </c>
      <c r="L3" s="7" t="inlineStr">
        <is>
          <t>Full Tuition + Living Stipend + Airfare (Up to MUR 100,000 tuition + MUR 16,500/mo stipend)</t>
        </is>
      </c>
      <c r="M3" s="7" t="inlineStr">
        <is>
          <t>Mar 27 (Annual cycle for 2026/2027 intake)</t>
        </is>
      </c>
      <c r="N3" s="7" t="inlineStr">
        <is>
          <t>Citizen of AU or African Commonwealth state; age above 18 and under 26 by Jan 1; minimum 60% average (12/20) or 21 GCE A-Level points; all majors.</t>
        </is>
      </c>
      <c r="O3" s="7" t="inlineStr">
        <is>
          <t>Medium: University Conditional Offer + Transcript + Home Ministry Nomination Form</t>
        </is>
      </c>
      <c r="P3" s="7" t="inlineStr">
        <is>
          <t>High School Seniors with 65%+ Grades Seeking Public University Degrees</t>
        </is>
      </c>
      <c r="Q3" s="7" t="inlineStr">
        <is>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is>
      </c>
      <c r="R3" s="7" t="inlineStr">
        <is>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is>
      </c>
      <c r="S3" s="7" t="inlineStr">
        <is>
          <t>Home Country Ministry Shortlisting (nominates up to 15 candidates per country) → Mauritian Ministry Verification of Academic Merit, Age Compliance (under 26 for Undergrad; under 40 for PhD), and Public University Seat Availability.</t>
        </is>
      </c>
      <c r="T3" s="7" t="inlineStr">
        <is>
          <t>Disciplined students who apply to the University of Mauritius early in January/February, obtain their application acknowledgment receipt, and hand-deliver their dossier to their local Ministry of Education scholarship desk before the March deadline.</t>
        </is>
      </c>
      <c r="U3" s="7" t="n"/>
      <c r="V3" s="7" t="inlineStr">
        <is>
          <t>https://highereducationmauritius.com/scholarships-for-foreign-students/</t>
        </is>
      </c>
      <c r="W3" s="7" t="n"/>
      <c r="X3" s="7" t="n"/>
      <c r="Y3" s="7" t="n"/>
      <c r="Z3" s="7" t="n"/>
      <c r="AA3" s="4" t="n"/>
      <c r="AB3" s="4" t="n"/>
      <c r="AC3" s="7">
        <f>IF(AND(E3&lt;&gt;"",COUNTIF($E$2:$E$800,E3)&gt;1),"DUPLICATE","")</f>
        <v/>
      </c>
    </row>
    <row r="4" ht="86.40000000000001" customHeight="1" s="6">
      <c r="A4" s="7" t="inlineStr">
        <is>
          <t>amci-moroccan-government-bilateral-scholarship-bachelor</t>
        </is>
      </c>
      <c r="B4" s="7" t="inlineStr">
        <is>
          <t>Open</t>
        </is>
      </c>
      <c r="C4" s="7" t="n"/>
      <c r="D4" s="7" t="inlineStr">
        <is>
          <t>Scholarship</t>
        </is>
      </c>
      <c r="E4" s="7" t="inlineStr">
        <is>
          <t>AMCI Moroccan Government Bilateral Scholarship</t>
        </is>
      </c>
      <c r="F4" s="7" t="inlineStr">
        <is>
          <t>Moroccan Agency for International Cooperation</t>
        </is>
      </c>
      <c r="G4" s="7" t="inlineStr">
        <is>
          <t>Africa</t>
        </is>
      </c>
      <c r="H4" s="7" t="inlineStr">
        <is>
          <t>Morocco, France</t>
        </is>
      </c>
      <c r="I4" s="7" t="inlineStr">
        <is>
          <t>Bachelor</t>
        </is>
      </c>
      <c r="J4" s="7" t="inlineStr">
        <is>
          <t>Engineering &amp; Technology, Health &amp; Life Sciences, Agriculture &amp; Food Security, Business, Economics &amp; Management, Architecture, Arts &amp; Design</t>
        </is>
      </c>
      <c r="K4" s="7" t="inlineStr">
        <is>
          <t>Full</t>
        </is>
      </c>
      <c r="L4" s="7" t="inlineStr">
        <is>
          <t>Full Public Tuition + Housing/Meals Subsidy + Stipend + 1-Yr French Prep</t>
        </is>
      </c>
      <c r="M4" s="7" t="inlineStr">
        <is>
          <t>May 15 – Aug 30 (Announced via Home Country Ministry of Education)</t>
        </is>
      </c>
      <c r="N4" s="7" t="inlineStr">
        <is>
          <t>African citizen; High School Diploma with Distinction/Good standing; age 18–23; Medicine, Engineering, Agronomy, Architecture, Economics.</t>
        </is>
      </c>
      <c r="O4" s="7" t="inlineStr">
        <is>
          <t>Low–Medium: No Essay (Transcript + Medical Certificate + Ministry Nomination Form)</t>
        </is>
      </c>
      <c r="P4" s="7" t="inlineStr">
        <is>
          <t>STEM/Medical Undergrads Open to Studying in French</t>
        </is>
      </c>
      <c r="Q4" s="7" t="n"/>
      <c r="R4" s="7" t="n"/>
      <c r="S4" s="7" t="n"/>
      <c r="T4" s="7" t="n"/>
      <c r="U4" s="7" t="n"/>
      <c r="V4" s="7" t="n"/>
      <c r="W4" s="7" t="n"/>
      <c r="X4" s="7" t="n"/>
      <c r="Y4" s="7" t="n"/>
      <c r="Z4" s="7" t="inlineStr">
        <is>
          <t>STEM</t>
        </is>
      </c>
      <c r="AA4" s="4" t="n"/>
      <c r="AB4" s="4" t="n"/>
      <c r="AC4" s="7">
        <f>IF(AND(E4&lt;&gt;"",COUNTIF($E$2:$E$800,E4)&gt;1),"DUPLICATE","")</f>
        <v/>
      </c>
    </row>
    <row r="5" ht="72" customHeight="1" s="6">
      <c r="A5" s="7" t="inlineStr">
        <is>
          <t>auc-excellence-mepi-tomorrow-s-leaders-undergraduate-scholar</t>
        </is>
      </c>
      <c r="B5" s="7" t="inlineStr">
        <is>
          <t>Open</t>
        </is>
      </c>
      <c r="C5" s="7" t="n"/>
      <c r="D5" s="7" t="inlineStr">
        <is>
          <t>Scholarship</t>
        </is>
      </c>
      <c r="E5" s="7" t="inlineStr">
        <is>
          <t>AUC Excellence &amp; MEPI Tomorrow’s Leaders Undergraduate Scholarships</t>
        </is>
      </c>
      <c r="F5" s="7" t="inlineStr">
        <is>
          <t>American University in Cairo &amp; US Dept. of State</t>
        </is>
      </c>
      <c r="G5" s="7" t="inlineStr">
        <is>
          <t>Africa</t>
        </is>
      </c>
      <c r="H5" s="7" t="inlineStr">
        <is>
          <t>Egypt, United States</t>
        </is>
      </c>
      <c r="I5" s="7" t="inlineStr">
        <is>
          <t>Bachelor</t>
        </is>
      </c>
      <c r="J5" s="7" t="inlineStr">
        <is>
          <t>All fields</t>
        </is>
      </c>
      <c r="K5" s="7" t="inlineStr">
        <is>
          <t>Full</t>
        </is>
      </c>
      <c r="L5" s="7" t="inlineStr">
        <is>
          <t>30% to 100% Tuition (MEPI is Full Ride: Tuition, Housing, Stipend, Travel)</t>
        </is>
      </c>
      <c r="M5" s="7" t="inlineStr">
        <is>
          <t>Dec 1 – Jun 1 (Varies by Fall/Spring intake &amp; donor track)</t>
        </is>
      </c>
      <c r="N5" s="7" t="inlineStr">
        <is>
          <t>High School GPA greater than 85%–90% (or IB/A-Level equivalent); IELTS/TOEFL required; demonstrated leadership &amp; financial need (for MEPI/Donor awards).</t>
        </is>
      </c>
      <c r="O5" s="7" t="inlineStr">
        <is>
          <t>Medium: Transcript + Short Personal Statement + Financial Aid Form + Extracurricular Portfolio</t>
        </is>
      </c>
      <c r="P5" s="7" t="inlineStr">
        <is>
          <t>North/Sub-Saharan African Students Seeking US-Accredited Liberal Arts/STEM</t>
        </is>
      </c>
      <c r="Q5" s="7" t="n"/>
      <c r="R5" s="7" t="n"/>
      <c r="S5" s="7" t="n"/>
      <c r="T5" s="7" t="n"/>
      <c r="U5" s="7" t="n"/>
      <c r="V5" s="7" t="n"/>
      <c r="W5" s="7" t="n"/>
      <c r="X5" s="7" t="n"/>
      <c r="Y5" s="7" t="n"/>
      <c r="Z5" s="7" t="inlineStr">
        <is>
          <t>Need-based</t>
        </is>
      </c>
      <c r="AA5" s="4" t="n"/>
      <c r="AB5" s="4" t="n"/>
      <c r="AC5" s="7">
        <f>IF(AND(E5&lt;&gt;"",COUNTIF($E$2:$E$800,E5)&gt;1),"DUPLICATE","")</f>
        <v/>
      </c>
    </row>
    <row r="6" ht="57.6" customHeight="1" s="6">
      <c r="A6" s="7" t="inlineStr">
        <is>
          <t>waaw-foundation-undergraduate-stem-scholarship-bachelor</t>
        </is>
      </c>
      <c r="B6" s="7" t="inlineStr">
        <is>
          <t>Open</t>
        </is>
      </c>
      <c r="C6" s="7" t="n"/>
      <c r="D6" s="7" t="inlineStr">
        <is>
          <t>Scholarship</t>
        </is>
      </c>
      <c r="E6" s="7" t="inlineStr">
        <is>
          <t>WAAW Foundation Undergraduate STEM Scholarship</t>
        </is>
      </c>
      <c r="F6" s="7" t="inlineStr">
        <is>
          <t>Working to Advance African Women</t>
        </is>
      </c>
      <c r="G6" s="7" t="inlineStr">
        <is>
          <t>Africa</t>
        </is>
      </c>
      <c r="H6" s="7" t="n"/>
      <c r="I6" s="7" t="inlineStr">
        <is>
          <t>Bachelor</t>
        </is>
      </c>
      <c r="J6" s="7" t="inlineStr">
        <is>
          <t>Mathematics &amp; Natural Sciences</t>
        </is>
      </c>
      <c r="K6" s="7" t="inlineStr">
        <is>
          <t>Partial</t>
        </is>
      </c>
      <c r="L6" s="7" t="inlineStr">
        <is>
          <t>$500 One-Time / Annual Grant (Need-based textbook &amp; tuition support)</t>
        </is>
      </c>
      <c r="M6" s="7" t="inlineStr">
        <is>
          <t>Nov 15 – Dec 1 (Annual cycle)</t>
        </is>
      </c>
      <c r="N6" s="7" t="inlineStr">
        <is>
          <t>Female African citizen currently enrolled in Year 1–3 of a Bachelor’s degree at an African university; studying a STEM major; GPA greater than 3.0/4.0; financial need.</t>
        </is>
      </c>
      <c r="O6" s="7" t="inlineStr">
        <is>
          <t>Medium: Short Essays + Transcript + 2 Reference Letters</t>
        </is>
      </c>
      <c r="P6" s="7" t="inlineStr">
        <is>
          <t>Female Undergraduates in STEM at African Universities</t>
        </is>
      </c>
      <c r="Q6" s="7" t="n"/>
      <c r="R6" s="7" t="n"/>
      <c r="S6" s="7" t="n"/>
      <c r="T6" s="7" t="n"/>
      <c r="U6" s="7" t="n"/>
      <c r="V6" s="7" t="n"/>
      <c r="W6" s="7" t="n"/>
      <c r="X6" s="7" t="n"/>
      <c r="Y6" s="7" t="n"/>
      <c r="Z6" s="7" t="inlineStr">
        <is>
          <t>Women, STEM, Need-based</t>
        </is>
      </c>
      <c r="AA6" s="4" t="n"/>
      <c r="AB6" s="4" t="n"/>
      <c r="AC6" s="7">
        <f>IF(AND(E6&lt;&gt;"",COUNTIF($E$2:$E$800,E6)&gt;1),"DUPLICATE","")</f>
        <v/>
      </c>
    </row>
    <row r="7" ht="230.4" customHeight="1" s="6">
      <c r="A7" s="7" t="inlineStr">
        <is>
          <t>pan-african-university-pau-scholarship-master</t>
        </is>
      </c>
      <c r="B7" s="7" t="inlineStr">
        <is>
          <t>Open</t>
        </is>
      </c>
      <c r="C7" s="7" t="n"/>
      <c r="D7" s="7" t="inlineStr">
        <is>
          <t>Scholarship</t>
        </is>
      </c>
      <c r="E7" s="7" t="inlineStr">
        <is>
          <t>Pan African University (PAU) Scholarship</t>
        </is>
      </c>
      <c r="F7" s="7" t="inlineStr">
        <is>
          <t>African Union Commission — Kenya, Nigeria, Cameroon, Algeria hubs</t>
        </is>
      </c>
      <c r="G7" s="7" t="inlineStr">
        <is>
          <t>Africa</t>
        </is>
      </c>
      <c r="H7" s="7" t="inlineStr">
        <is>
          <t>Kenya, Nigeria, Algeria, Cameroon</t>
        </is>
      </c>
      <c r="I7" s="7" t="inlineStr">
        <is>
          <t>Master</t>
        </is>
      </c>
      <c r="J7" s="7" t="inlineStr">
        <is>
          <t>Mathematics &amp; Natural Sciences, Health &amp; Life Sciences, Environment, Water &amp; Energy, Law, Governance &amp; Public Policy</t>
        </is>
      </c>
      <c r="K7" s="7" t="inlineStr">
        <is>
          <t>Full</t>
        </is>
      </c>
      <c r="L7" s="7" t="inlineStr">
        <is>
          <t>Full Ride (100% Tuition, Monthly Stipend, Return Flight, Medical Insurance, Research Grant)</t>
        </is>
      </c>
      <c r="M7" s="7" t="inlineStr">
        <is>
          <t>Nov 15 – Dec 15 (Annual call for following academic year)</t>
        </is>
      </c>
      <c r="N7" s="7" t="inlineStr">
        <is>
          <t>Citizen of AU member state; Under 25 (Male) or Under 28 (Female); Bachelor’s degree with at least Upper Second Class (2:1 / Distinction); STEM, Health, Governance, or Water/Energy.</t>
        </is>
      </c>
      <c r="O7" s="7" t="inlineStr">
        <is>
          <t>Medium: Transcript + National ID/Passport + 3 Referee Contacts (no essay required for Master’s)</t>
        </is>
      </c>
      <c r="P7" s="7" t="inlineStr">
        <is>
          <t>Under-25/28 Graduates with 2:1 or First Class Honours</t>
        </is>
      </c>
      <c r="Q7" s="7" t="inlineStr">
        <is>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is>
      </c>
      <c r="R7" s="7" t="inlineStr">
        <is>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is>
      </c>
      <c r="S7" s="7" t="inlineStr">
        <is>
          <t>Strict Automated Age &amp; Degree Class Filter (Pass/Fail), Academic GPA &amp; Subject Alignment (50%), Research Concept Note Quality for PhDs (30%), Regional &amp; Gender Diversity Quota across AU Member States (20%).</t>
        </is>
      </c>
      <c r="T7" s="7" t="inlineStr">
        <is>
          <t>A 23-year-old B.Sc. Civil Engineering graduate with First Class Honours (GPA 3.7/4.0) from Ghana or Tanzania admitted to PAUSTI (Kenya) or PAUWES (Algeria), or a 27-year-old female Master’s graduate with Distinction researching climate-resilient crops.</t>
        </is>
      </c>
      <c r="U7" s="7" t="n"/>
      <c r="V7" s="7" t="inlineStr">
        <is>
          <t>https://www.au-pau.org/submission/</t>
        </is>
      </c>
      <c r="W7" s="7" t="n"/>
      <c r="X7" s="7" t="n"/>
      <c r="Y7" s="7" t="n"/>
      <c r="Z7" s="7" t="inlineStr">
        <is>
          <t>Women, STEM</t>
        </is>
      </c>
      <c r="AA7" s="4" t="n"/>
      <c r="AB7" s="4" t="n"/>
      <c r="AC7" s="7">
        <f>IF(AND(E7&lt;&gt;"",COUNTIF($E$2:$E$800,E7)&gt;1),"DUPLICATE","")</f>
        <v/>
      </c>
    </row>
    <row r="8" ht="201.6" customHeight="1" s="6">
      <c r="A8" s="7" t="inlineStr">
        <is>
          <t>the-mandela-rhodes-scholarship-master</t>
        </is>
      </c>
      <c r="B8" s="7" t="inlineStr">
        <is>
          <t>Open</t>
        </is>
      </c>
      <c r="C8" s="7" t="n"/>
      <c r="D8" s="7" t="inlineStr">
        <is>
          <t>Scholarship</t>
        </is>
      </c>
      <c r="E8" s="7" t="inlineStr">
        <is>
          <t>The Mandela Rhodes Scholarship</t>
        </is>
      </c>
      <c r="F8" s="7" t="inlineStr">
        <is>
          <t>The Mandela Rhodes Foundation — South Africa</t>
        </is>
      </c>
      <c r="G8" s="7" t="inlineStr">
        <is>
          <t>Africa</t>
        </is>
      </c>
      <c r="H8" s="7" t="inlineStr">
        <is>
          <t>South Africa</t>
        </is>
      </c>
      <c r="I8" s="7" t="inlineStr">
        <is>
          <t>Master</t>
        </is>
      </c>
      <c r="J8" s="7" t="inlineStr">
        <is>
          <t>All fields</t>
        </is>
      </c>
      <c r="K8" s="7" t="inlineStr">
        <is>
          <t>Full</t>
        </is>
      </c>
      <c r="L8" s="7" t="inlineStr">
        <is>
          <t>Full Ride + Leadership Residency (Tuition, Housing, Meals, Books, Economy Flights, Stipend)</t>
        </is>
      </c>
      <c r="M8" s="7" t="inlineStr">
        <is>
          <t>Apr 14 (Opens early March annually for next Jan intake)</t>
        </is>
      </c>
      <c r="N8" s="7" t="inlineStr">
        <is>
          <t>Citizen of any of the 55 African countries; Age 19–29; minimum 70% average (GPA 3.0+ / Upper Second Class); applying for Honours or Master’s in any field at a South African university.</t>
        </is>
      </c>
      <c r="O8" s="7" t="inlineStr">
        <is>
          <t>High: Transcript + 3 Detailed Leadership Essays + 3 Recommendation Letters + Multi-Round Interviews</t>
        </is>
      </c>
      <c r="P8" s="7" t="inlineStr">
        <is>
          <t>High-GPA Young African Changemakers (All Majors)</t>
        </is>
      </c>
      <c r="Q8" s="7" t="inlineStr">
        <is>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is>
      </c>
      <c r="R8" s="7" t="inlineStr">
        <is>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is>
      </c>
      <c r="S8" s="7" t="inlineStr">
        <is>
          <t>Four-stage selection (Eligibility Check → Round 1 Application Review → Round 2 Video/Written Assessment in July → Round 3 Panel Interviews in October). Evaluates Academic Excellence (25%), Leadership Potential (25%), Entrepreneurial Spirit (25%), and Commitment to Reconciliation/Humanity (25%).</t>
        </is>
      </c>
      <c r="T8" s="7" t="inlineStr">
        <is>
          <t>Young African intellectuals—from medical doctors and AI engineers to poets, human rights lawyers, and social entrepreneurs—who show deep self-awareness, vulnerability in their personal essays, and a track record of building initiatives that bridge social divides.</t>
        </is>
      </c>
      <c r="U8" s="7" t="n"/>
      <c r="V8" s="7" t="inlineStr">
        <is>
          <t>https://www.mandelarhodes.org/scholarship/apply/</t>
        </is>
      </c>
      <c r="W8" s="7" t="n"/>
      <c r="X8" s="7" t="n"/>
      <c r="Y8" s="7" t="n"/>
      <c r="Z8" s="7" t="n"/>
      <c r="AA8" s="4" t="n"/>
      <c r="AB8" s="4" t="n"/>
      <c r="AC8" s="7">
        <f>IF(AND(E8&lt;&gt;"",COUNTIF($E$2:$E$800,E8)&gt;1),"DUPLICATE","")</f>
        <v/>
      </c>
    </row>
    <row r="9" ht="57.6" customHeight="1" s="6">
      <c r="A9" s="7" t="inlineStr">
        <is>
          <t>auc-african-graduate-fellowship-agf-master</t>
        </is>
      </c>
      <c r="B9" s="7" t="inlineStr">
        <is>
          <t>Open</t>
        </is>
      </c>
      <c r="C9" s="7" t="n"/>
      <c r="D9" s="7" t="inlineStr">
        <is>
          <t>Scholarship</t>
        </is>
      </c>
      <c r="E9" s="7" t="inlineStr">
        <is>
          <t>AUC African Graduate Fellowship (AGF)</t>
        </is>
      </c>
      <c r="F9" s="7" t="inlineStr">
        <is>
          <t>The American University in Cairo, Egypt</t>
        </is>
      </c>
      <c r="G9" s="7" t="inlineStr">
        <is>
          <t>Africa</t>
        </is>
      </c>
      <c r="H9" s="7" t="inlineStr">
        <is>
          <t>Egypt</t>
        </is>
      </c>
      <c r="I9" s="7" t="inlineStr">
        <is>
          <t>Master</t>
        </is>
      </c>
      <c r="J9" s="7" t="inlineStr">
        <is>
          <t>All fields</t>
        </is>
      </c>
      <c r="K9" s="7" t="inlineStr">
        <is>
          <t>Full</t>
        </is>
      </c>
      <c r="L9" s="7" t="inlineStr">
        <is>
          <t>Full Ride (Full Tuition for 9 credits/sem, Monthly Stipend, New Cairo Housing, Medical Insurance)</t>
        </is>
      </c>
      <c r="M9" s="7" t="inlineStr">
        <is>
          <t>May 3 – May 6 (Annual Fall intake deadline)</t>
        </is>
      </c>
      <c r="N9" s="7" t="inlineStr">
        <is>
          <t>Non-Egyptian African citizen resident in Africa; Bachelor’s GPA minimum 3.2/4.0; IELTS 6.5 / TOEFL iBT 83; admitted to an AUC Master’s program; 12 hrs/week TA/RA duty.</t>
        </is>
      </c>
      <c r="O9" s="7" t="inlineStr">
        <is>
          <t>Medium–High: AUC Admission Application + Statement of Purpose + 2 Recommendation Letters + IELTS/TOEFL</t>
        </is>
      </c>
      <c r="P9" s="7" t="inlineStr">
        <is>
          <t>African Graduates with 3.2+ GPA Seeking English-Taught Master’s</t>
        </is>
      </c>
      <c r="Q9" s="7" t="n"/>
      <c r="R9" s="7" t="n"/>
      <c r="S9" s="7" t="n"/>
      <c r="T9" s="7" t="n"/>
      <c r="U9" s="7" t="n"/>
      <c r="V9" s="7" t="n"/>
      <c r="W9" s="7" t="n"/>
      <c r="X9" s="7" t="n"/>
      <c r="Y9" s="7" t="n"/>
      <c r="Z9" s="7" t="n"/>
      <c r="AA9" s="4" t="n"/>
      <c r="AB9" s="4" t="n"/>
      <c r="AC9" s="7">
        <f>IF(AND(E9&lt;&gt;"",COUNTIF($E$2:$E$800,E9)&gt;1),"DUPLICATE","")</f>
        <v/>
      </c>
    </row>
    <row r="10" ht="259.2" customHeight="1" s="6">
      <c r="A10" s="7" t="inlineStr">
        <is>
          <t>e-just-ticad8-african-scholarships-for-sti-master</t>
        </is>
      </c>
      <c r="B10" s="7" t="inlineStr">
        <is>
          <t>Open</t>
        </is>
      </c>
      <c r="C10" s="7" t="n"/>
      <c r="D10" s="7" t="inlineStr">
        <is>
          <t>Scholarship</t>
        </is>
      </c>
      <c r="E10" s="7" t="inlineStr">
        <is>
          <t>E-JUST TICAD8 African Scholarships for STI</t>
        </is>
      </c>
      <c r="F10" s="7" t="inlineStr">
        <is>
          <t>Egypt-Japan University of Science &amp; Technology &amp; JICA</t>
        </is>
      </c>
      <c r="G10" s="7" t="inlineStr">
        <is>
          <t>Africa</t>
        </is>
      </c>
      <c r="H10" s="7" t="inlineStr">
        <is>
          <t>Egypt, Japan</t>
        </is>
      </c>
      <c r="I10" s="7" t="inlineStr">
        <is>
          <t>Master</t>
        </is>
      </c>
      <c r="J10" s="7" t="inlineStr">
        <is>
          <t>Engineering &amp; Technology, Computer Science, Data &amp; AI, Mathematics &amp; Natural Sciences</t>
        </is>
      </c>
      <c r="K10" s="7" t="inlineStr">
        <is>
          <t>Full</t>
        </is>
      </c>
      <c r="L10" s="7" t="inlineStr">
        <is>
          <t>Full Ride (Full Tuition, Campus Housing, Monthly Stipend, Medical Care, Round-Trip Airfare)</t>
        </is>
      </c>
      <c r="M10" s="7" t="inlineStr">
        <is>
          <t>Feb 15 (Annual Fall intake deadline)</t>
        </is>
      </c>
      <c r="N10" s="7" t="inlineStr">
        <is>
          <t>Non-Egyptian African citizen; Bachelor’s in Engineering, Computer Science, or Basic Applied Sciences; TOEFL 79 / IELTS 6.5 (or Duolingo 125 provisional); preference for Junior University Staff/Researchers.</t>
        </is>
      </c>
      <c r="O10" s="7" t="inlineStr">
        <is>
          <t>High: Research Proposal + Statement of Purpose + Full B.Sc. Graduation Project + 2 Recommendations + Employer Endorsement + Written/Oral Exam</t>
        </is>
      </c>
      <c r="P10" s="7" t="inlineStr">
        <is>
          <t>African Engineering/STEM Graduates &amp; Junior Lecturers</t>
        </is>
      </c>
      <c r="Q10" s="7" t="inlineStr">
        <is>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is>
      </c>
      <c r="R10" s="7" t="inlineStr">
        <is>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is>
      </c>
      <c r="S10" s="7" t="inlineStr">
        <is>
          <t>Document &amp; Transcript Screening → Written Subject Exam + Online Oral Academic Interview (late March/early April) evaluating technical mastery and research feasibility.</t>
        </is>
      </c>
      <c r="T10" s="7" t="inlineStr">
        <is>
          <t>Junior lecturers, assistant researchers, and top-graduating B.Sc./M.Sc. engineers from Kenya, Nigeria, Ethiopia, Uganda, and Ghana who hold an institutional endorsement to return and upgrade their home university's STEM departments.</t>
        </is>
      </c>
      <c r="U10" s="7" t="n"/>
      <c r="V10" s="7" t="inlineStr">
        <is>
          <t>https://www.ejust.edu.eg/int-admission</t>
        </is>
      </c>
      <c r="W10" s="7" t="n"/>
      <c r="X10" s="7" t="n"/>
      <c r="Y10" s="7" t="n"/>
      <c r="Z10" s="7" t="inlineStr">
        <is>
          <t>STEM, Research</t>
        </is>
      </c>
      <c r="AA10" s="4" t="n"/>
      <c r="AB10" s="4" t="n"/>
      <c r="AC10" s="7">
        <f>IF(AND(E10&lt;&gt;"",COUNTIF($E$2:$E$800,E10)&gt;1),"DUPLICATE","")</f>
        <v/>
      </c>
    </row>
    <row r="11" ht="72" customHeight="1" s="6">
      <c r="A11" s="7" t="inlineStr">
        <is>
          <t>aims-structured-master-s-ai-for-science-scholarship-master</t>
        </is>
      </c>
      <c r="B11" s="7" t="inlineStr">
        <is>
          <t>Open</t>
        </is>
      </c>
      <c r="C11" s="7" t="n"/>
      <c r="D11" s="7" t="inlineStr">
        <is>
          <t>Scholarship</t>
        </is>
      </c>
      <c r="E11" s="7" t="inlineStr">
        <is>
          <t>AIMS Structured Master’s &amp; AI for Science Scholarship</t>
        </is>
      </c>
      <c r="F11" s="7" t="inlineStr">
        <is>
          <t>African Institute for Mathematical Sciences &amp; Google DeepMind</t>
        </is>
      </c>
      <c r="G11" s="7" t="inlineStr">
        <is>
          <t>Africa</t>
        </is>
      </c>
      <c r="H11" s="7" t="inlineStr">
        <is>
          <t>Rwanda</t>
        </is>
      </c>
      <c r="I11" s="7" t="inlineStr">
        <is>
          <t>Master</t>
        </is>
      </c>
      <c r="J11" s="7" t="inlineStr">
        <is>
          <t>Engineering &amp; Technology, Computer Science, Data &amp; AI, Mathematics &amp; Natural Sciences</t>
        </is>
      </c>
      <c r="K11" s="7" t="inlineStr">
        <is>
          <t>Full</t>
        </is>
      </c>
      <c r="L11" s="7" t="inlineStr">
        <is>
          <t>Full Ride (100% Tuition, Full Board/Accommodation, Laptop, Flights, Stipend)</t>
        </is>
      </c>
      <c r="M11" s="7" t="inlineStr">
        <is>
          <t>Mar 29 (Annual deadline across South Africa, Rwanda, Ghana, Senegal, Cameroon hubs)</t>
        </is>
      </c>
      <c r="N11" s="7" t="inlineStr">
        <is>
          <t>African citizen; 4-year Bachelor’s degree in Mathematics, Physics, Computer Science, Statistics, or Engineering with strong quantitative/coding foundation.</t>
        </is>
      </c>
      <c r="O11" s="7" t="inlineStr">
        <is>
          <t>Medium: Transcript + CV + Short Motivation Statement + 3 Referees + Online Math/Coding Assessment</t>
        </is>
      </c>
      <c r="P11" s="7" t="inlineStr">
        <is>
          <t>Math, Physics, Data Science &amp; AI Majors</t>
        </is>
      </c>
      <c r="Q11" s="7" t="n"/>
      <c r="R11" s="7" t="n"/>
      <c r="S11" s="7" t="n"/>
      <c r="T11" s="7" t="n"/>
      <c r="U11" s="7" t="n"/>
      <c r="V11" s="7" t="n"/>
      <c r="W11" s="7" t="n"/>
      <c r="X11" s="7" t="n"/>
      <c r="Y11" s="7" t="n"/>
      <c r="Z11" s="7" t="inlineStr">
        <is>
          <t>STEM</t>
        </is>
      </c>
      <c r="AA11" s="4" t="n"/>
      <c r="AB11" s="4" t="n"/>
      <c r="AC11" s="7">
        <f>IF(AND(E11&lt;&gt;"",COUNTIF($E$2:$E$800,E11)&gt;1),"DUPLICATE","")</f>
        <v/>
      </c>
    </row>
    <row r="12" ht="57.6" customHeight="1" s="6">
      <c r="A12" s="7" t="inlineStr">
        <is>
          <t>afdb-japan-africa-dream-scholarship-jads-master</t>
        </is>
      </c>
      <c r="B12" s="7" t="inlineStr">
        <is>
          <t>Open</t>
        </is>
      </c>
      <c r="C12" s="7" t="n"/>
      <c r="D12" s="7" t="inlineStr">
        <is>
          <t>Scholarship</t>
        </is>
      </c>
      <c r="E12" s="7" t="inlineStr">
        <is>
          <t>AfDB Japan Africa Dream Scholarship (JADS)</t>
        </is>
      </c>
      <c r="F12" s="7" t="inlineStr">
        <is>
          <t>African Development Bank &amp; Govt. of Japan</t>
        </is>
      </c>
      <c r="G12" s="7" t="inlineStr">
        <is>
          <t>Africa</t>
        </is>
      </c>
      <c r="H12" s="7" t="inlineStr">
        <is>
          <t>Japan</t>
        </is>
      </c>
      <c r="I12" s="7" t="inlineStr">
        <is>
          <t>Master</t>
        </is>
      </c>
      <c r="J12" s="7" t="inlineStr">
        <is>
          <t>Engineering &amp; Technology, Health &amp; Life Sciences, Agriculture &amp; Food Security, Environment, Water &amp; Energy</t>
        </is>
      </c>
      <c r="K12" s="7" t="inlineStr">
        <is>
          <t>Full</t>
        </is>
      </c>
      <c r="L12" s="7" t="inlineStr">
        <is>
          <t>Full Ride (Full Tuition, Monthly Living Allowance, Health Insurance, Round-Trip Airfare)</t>
        </is>
      </c>
      <c r="M12" s="7" t="inlineStr">
        <is>
          <t>Jul – Aug (Varies slightly by partner university window)</t>
        </is>
      </c>
      <c r="N12" s="7" t="inlineStr">
        <is>
          <t>Citizen of AfDB member country; under 35; Bachelor’s degree + minimum 1–2 years professional experience; Energy, Agriculture, Health, Environment, Engineering.</t>
        </is>
      </c>
      <c r="O12" s="7" t="inlineStr">
        <is>
          <t>High: University Admission Letter + Statement of Purpose on National Development + Employment Verification + 2 References</t>
        </is>
      </c>
      <c r="P12" s="7" t="inlineStr">
        <is>
          <t>Mid-Career STEM/Development Professionals</t>
        </is>
      </c>
      <c r="Q12" s="7" t="n"/>
      <c r="R12" s="7" t="n"/>
      <c r="S12" s="7" t="n"/>
      <c r="T12" s="7" t="n"/>
      <c r="U12" s="7" t="n"/>
      <c r="V12" s="7" t="n"/>
      <c r="W12" s="7" t="n"/>
      <c r="X12" s="7" t="n"/>
      <c r="Y12" s="7" t="n"/>
      <c r="Z12" s="7" t="inlineStr">
        <is>
          <t>STEM, Work experience</t>
        </is>
      </c>
      <c r="AA12" s="4" t="n"/>
      <c r="AB12" s="4" t="n"/>
      <c r="AC12" s="7">
        <f>IF(AND(E12&lt;&gt;"",COUNTIF($E$2:$E$800,E12)&gt;1),"DUPLICATE","")</f>
        <v/>
      </c>
    </row>
    <row r="13" ht="216" customHeight="1" s="6">
      <c r="A13" s="7" t="inlineStr">
        <is>
          <t>paset-regional-scholarship-innovation-fund-rsif-phd</t>
        </is>
      </c>
      <c r="B13" s="7" t="inlineStr">
        <is>
          <t>Open</t>
        </is>
      </c>
      <c r="C13" s="7" t="n"/>
      <c r="D13" s="7" t="inlineStr">
        <is>
          <t>Scholarship</t>
        </is>
      </c>
      <c r="E13" s="7" t="inlineStr">
        <is>
          <t>PASET Regional Scholarship &amp; Innovation Fund (RSIF)</t>
        </is>
      </c>
      <c r="F13" s="7" t="inlineStr">
        <is>
          <t>Partnership for skills in Applied Sciences, Engineering &amp; Technology / icipe</t>
        </is>
      </c>
      <c r="G13" s="7" t="inlineStr">
        <is>
          <t>Africa</t>
        </is>
      </c>
      <c r="H13" s="7" t="inlineStr">
        <is>
          <t>Kenya</t>
        </is>
      </c>
      <c r="I13" s="7" t="inlineStr">
        <is>
          <t>PhD</t>
        </is>
      </c>
      <c r="J13" s="7" t="inlineStr">
        <is>
          <t>Engineering &amp; Technology, Computer Science, Data &amp; AI, Mathematics &amp; Natural Sciences, Agriculture &amp; Food Security, Environment, Water &amp; Energy</t>
        </is>
      </c>
      <c r="K13" s="7" t="inlineStr">
        <is>
          <t>Full</t>
        </is>
      </c>
      <c r="L13" s="7" t="inlineStr">
        <is>
          <t>Full Ride + 6–12 Mo International Sandwich Placement (Tuition, Stipend, Research Funds, Travel, Insurance)</t>
        </is>
      </c>
      <c r="M13" s="7" t="inlineStr">
        <is>
          <t>May 31 (Annual cycle)</t>
        </is>
      </c>
      <c r="N13" s="7" t="inlineStr">
        <is>
          <t>Citizen of Sub-Saharan African country; Master’s degree in ICT/Data Science, Food Security, Minerals/Materials Engineering, Energy, or Climate Change; priority for women and junior faculty under 35.</t>
        </is>
      </c>
      <c r="O13" s="7" t="inlineStr">
        <is>
          <t>High: PhD Research Concept Note + Master’s/Bachelor’s Transcripts + 2 Recommendation Letters + University Admission/Endorsement</t>
        </is>
      </c>
      <c r="P13" s="7" t="inlineStr">
        <is>
          <t>STEM PhD Candidates &amp; Junior Faculty Seeking International Lab Exposure</t>
        </is>
      </c>
      <c r="Q13" s="7" t="inlineStr">
        <is>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is>
      </c>
      <c r="R13" s="7" t="inlineStr">
        <is>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is>
      </c>
      <c r="S13" s="7" t="inlineStr">
        <is>
          <t>Independent External Scientific Review (evaluates scientific merit, methodology, and industrial relevance of the PhD proposal), Academic Track Record &amp; Publications, and Priority Weighting for female STEM researchers and junior university faculty under age 35.</t>
        </is>
      </c>
      <c r="T13" s="7" t="inlineStr">
        <is>
          <t>A 30-year-old female lecturer or researcher with a Master’s in Renewable Energy, Materials Science, or Agricultural Biotechnology and 1–2 co-authored journal papers whose PhD project solves a tangible industrial or environmental bottleneck in Sub-Saharan Africa.</t>
        </is>
      </c>
      <c r="U13" s="7" t="n"/>
      <c r="V13" s="7" t="inlineStr">
        <is>
          <t>https://www.rsif-paset.org/calls/scholarships/</t>
        </is>
      </c>
      <c r="W13" s="7" t="n"/>
      <c r="X13" s="7" t="n"/>
      <c r="Y13" s="7" t="n"/>
      <c r="Z13" s="7" t="inlineStr">
        <is>
          <t>Women, STEM</t>
        </is>
      </c>
      <c r="AA13" s="4" t="n"/>
      <c r="AB13" s="4" t="n"/>
      <c r="AC13" s="7">
        <f>IF(AND(E13&lt;&gt;"",COUNTIF($E$2:$E$800,E13)&gt;1),"DUPLICATE","")</f>
        <v/>
      </c>
    </row>
    <row r="14" ht="72" customHeight="1" s="6">
      <c r="A14" s="7" t="inlineStr">
        <is>
          <t>daad-in-country-in-region-scholarship-programme-phd</t>
        </is>
      </c>
      <c r="B14" s="7" t="inlineStr">
        <is>
          <t>Open</t>
        </is>
      </c>
      <c r="C14" s="7" t="n"/>
      <c r="D14" s="7" t="inlineStr">
        <is>
          <t>Scholarship</t>
        </is>
      </c>
      <c r="E14" s="7" t="inlineStr">
        <is>
          <t>DAAD In-Country / In-Region Scholarship Programme</t>
        </is>
      </c>
      <c r="F14" s="7" t="inlineStr">
        <is>
          <t>German Academic Exchange Service — 40+ African Centers of Excellence</t>
        </is>
      </c>
      <c r="G14" s="7" t="inlineStr">
        <is>
          <t>Africa</t>
        </is>
      </c>
      <c r="H14" s="7" t="inlineStr">
        <is>
          <t>Germany</t>
        </is>
      </c>
      <c r="I14" s="7" t="inlineStr">
        <is>
          <t>PhD</t>
        </is>
      </c>
      <c r="J14" s="7" t="inlineStr">
        <is>
          <t>Mathematics &amp; Natural Sciences, Health &amp; Life Sciences, Agriculture &amp; Food Security, Law, Governance &amp; Public Policy</t>
        </is>
      </c>
      <c r="K14" s="7" t="inlineStr">
        <is>
          <t>Full</t>
        </is>
      </c>
      <c r="L14" s="7" t="inlineStr">
        <is>
          <t>Full Ride + Optional 6-Mo Germany Research Stay (Tuition, Monthly EUR Stipend, Research Allowance, Travel)</t>
        </is>
      </c>
      <c r="M14" s="7" t="inlineStr">
        <is>
          <t>Nov 20 – Feb 15 (Staggered by host institution via DAAD portal)</t>
        </is>
      </c>
      <c r="N14" s="7" t="inlineStr">
        <is>
          <t>Sub-Saharan African national; Master’s degree completed within the last 6 years with above-average grades (Upper Second/Distinction); STEM, Public Health, Agriculture, Governance, Law.</t>
        </is>
      </c>
      <c r="O14" s="7" t="inlineStr">
        <is>
          <t>High: Dual Application (Host University + DAAD Portal) + Detailed PhD Research Proposal + Work Schedule + 2 Referees</t>
        </is>
      </c>
      <c r="P14" s="7" t="inlineStr">
        <is>
          <t>Recent Master’s Graduates Applying to Accredited African Centers of Excellence</t>
        </is>
      </c>
      <c r="Q14" s="7" t="n"/>
      <c r="R14" s="7" t="n"/>
      <c r="S14" s="7" t="n"/>
      <c r="T14" s="7" t="n"/>
      <c r="U14" s="7" t="n"/>
      <c r="V14" s="7" t="n"/>
      <c r="W14" s="7" t="n"/>
      <c r="X14" s="7" t="n"/>
      <c r="Y14" s="7" t="n"/>
      <c r="Z14" s="7" t="inlineStr">
        <is>
          <t>STEM</t>
        </is>
      </c>
      <c r="AA14" s="4" t="n"/>
      <c r="AB14" s="4" t="n"/>
      <c r="AC14" s="7">
        <f>IF(AND(E14&lt;&gt;"",COUNTIF($E$2:$E$800,E14)&gt;1),"DUPLICATE","")</f>
        <v/>
      </c>
    </row>
    <row r="15" ht="57.6" customHeight="1" s="6">
      <c r="A15" s="7" t="inlineStr">
        <is>
          <t>owsd-phd-fellowship-phd</t>
        </is>
      </c>
      <c r="B15" s="7" t="inlineStr">
        <is>
          <t>Open</t>
        </is>
      </c>
      <c r="C15" s="7" t="n"/>
      <c r="D15" s="7" t="inlineStr">
        <is>
          <t>Scholarship</t>
        </is>
      </c>
      <c r="E15" s="7" t="inlineStr">
        <is>
          <t>OWSD PhD Fellowship</t>
        </is>
      </c>
      <c r="F15" s="7" t="inlineStr">
        <is>
          <t>Organization for Women in Science for the Developing World &amp; Sida/UNESCO</t>
        </is>
      </c>
      <c r="G15" s="7" t="inlineStr">
        <is>
          <t>Africa</t>
        </is>
      </c>
      <c r="H15" s="7" t="inlineStr">
        <is>
          <t>South Africa, Ghana, Kenya</t>
        </is>
      </c>
      <c r="I15" s="7" t="inlineStr">
        <is>
          <t>PhD</t>
        </is>
      </c>
      <c r="J15" s="7" t="inlineStr">
        <is>
          <t>Engineering &amp; Technology, Mathematics &amp; Natural Sciences</t>
        </is>
      </c>
      <c r="K15" s="7" t="inlineStr">
        <is>
          <t>Full</t>
        </is>
      </c>
      <c r="L15" s="7" t="inlineStr">
        <is>
          <t>Full Ride (Tuition, Monthly Living Stipend, Accommodation, Visa/Airfare, Research &amp; Conference Grants)</t>
        </is>
      </c>
      <c r="M15" s="7" t="inlineStr">
        <is>
          <t>Mar – Apr (Annual call)</t>
        </is>
      </c>
      <c r="N15" s="7" t="inlineStr">
        <is>
          <t>Female scientist from a Science &amp; Technology Lagging Country (STLC); Master’s in Natural, Engineering, or IT Sciences; accepted/hosted by a top institute in another Global South country (e.g., South Africa, Kenya, Ghana).</t>
        </is>
      </c>
      <c r="O15" s="7" t="inlineStr">
        <is>
          <t>High: Host Supervisor Acceptance Letter + PhD Research Proposal + 2 Reference Letters + No-Objection Certificate</t>
        </is>
      </c>
      <c r="P15" s="7" t="inlineStr">
        <is>
          <t>Women Scientists in STEM from Eligible African Countries</t>
        </is>
      </c>
      <c r="Q15" s="7" t="n"/>
      <c r="R15" s="7" t="n"/>
      <c r="S15" s="7" t="n"/>
      <c r="T15" s="7" t="n"/>
      <c r="U15" s="7" t="n"/>
      <c r="V15" s="7" t="n"/>
      <c r="W15" s="7" t="n"/>
      <c r="X15" s="7" t="n"/>
      <c r="Y15" s="7" t="n"/>
      <c r="Z15" s="7" t="inlineStr">
        <is>
          <t>Women, STEM</t>
        </is>
      </c>
      <c r="AA15" s="4" t="n"/>
      <c r="AB15" s="4" t="n"/>
      <c r="AC15" s="7">
        <f>IF(AND(E15&lt;&gt;"",COUNTIF($E$2:$E$800,E15)&gt;1),"DUPLICATE","")</f>
        <v/>
      </c>
    </row>
    <row r="16" ht="72" customHeight="1" s="6">
      <c r="A16" s="7" t="inlineStr">
        <is>
          <t>canon-collins-trust-postgraduate-scholarships-phd</t>
        </is>
      </c>
      <c r="B16" s="7" t="inlineStr">
        <is>
          <t>Open</t>
        </is>
      </c>
      <c r="C16" s="7" t="n"/>
      <c r="D16" s="7" t="inlineStr">
        <is>
          <t>Scholarship</t>
        </is>
      </c>
      <c r="E16" s="7" t="inlineStr">
        <is>
          <t>Canon Collins Trust Postgraduate Scholarships</t>
        </is>
      </c>
      <c r="F16" s="7" t="inlineStr">
        <is>
          <t>Canon Collins Educational &amp; Legal Assistance Trust — South Africa</t>
        </is>
      </c>
      <c r="G16" s="7" t="inlineStr">
        <is>
          <t>Africa</t>
        </is>
      </c>
      <c r="H16" s="7" t="inlineStr">
        <is>
          <t>South Africa</t>
        </is>
      </c>
      <c r="I16" s="7" t="inlineStr">
        <is>
          <t>PhD</t>
        </is>
      </c>
      <c r="J16" s="7" t="inlineStr">
        <is>
          <t>Environment, Water &amp; Energy, Law, Governance &amp; Public Policy, Education</t>
        </is>
      </c>
      <c r="K16" s="7" t="inlineStr">
        <is>
          <t>Full</t>
        </is>
      </c>
      <c r="L16" s="7" t="inlineStr">
        <is>
          <t>R20,000 – R100,000/yr (Up to Full Tuition &amp; Living Support depending on sub-fund)</t>
        </is>
      </c>
      <c r="M16" s="7" t="inlineStr">
        <is>
          <t>Jul – Aug (Annual cycle for next academic year)</t>
        </is>
      </c>
      <c r="N16" s="7" t="inlineStr">
        <is>
          <t>Citizen/Refugee of SADC / Southern Africa (Angola, Botswana, DRC, Eswatini, Lesotho, Malawi, Mozambique, Namibia, SA, Tanzania, Zambia, Zimbabwe); studying Justice/Law, Education, or Climate Change in South Africa.</t>
        </is>
      </c>
      <c r="O16" s="7" t="inlineStr">
        <is>
          <t>High: Academic Transcripts + PhD Proposal + Impact Essays + 2 Reference Letters + Proof of Income/Pay Slips</t>
        </is>
      </c>
      <c r="P16" s="7" t="inlineStr">
        <is>
          <t>Southern African Law, Education, and Climate Change Researchers</t>
        </is>
      </c>
      <c r="Q16" s="7" t="n"/>
      <c r="R16" s="7" t="n"/>
      <c r="S16" s="7" t="n"/>
      <c r="T16" s="7" t="n"/>
      <c r="U16" s="7" t="n"/>
      <c r="V16" s="7" t="n"/>
      <c r="W16" s="7" t="n"/>
      <c r="X16" s="7" t="n"/>
      <c r="Y16" s="7" t="n"/>
      <c r="Z16" s="7" t="n"/>
      <c r="AA16" s="4" t="n"/>
      <c r="AB16" s="4" t="n"/>
      <c r="AC16" s="7">
        <f>IF(AND(E16&lt;&gt;"",COUNTIF($E$2:$E$800,E16)&gt;1),"DUPLICATE","")</f>
        <v/>
      </c>
    </row>
    <row r="17" ht="129.6" customHeight="1" s="6">
      <c r="A17" s="7" t="inlineStr">
        <is>
          <t>mext-undergraduate-scholarship-bachelor</t>
        </is>
      </c>
      <c r="B17" s="7" t="inlineStr">
        <is>
          <t>Open</t>
        </is>
      </c>
      <c r="C17" s="7" t="n"/>
      <c r="D17" s="7" t="inlineStr">
        <is>
          <t>Scholarship</t>
        </is>
      </c>
      <c r="E17" s="7" t="inlineStr">
        <is>
          <t>MEXT Undergraduate Scholarship</t>
        </is>
      </c>
      <c r="F17" s="7" t="inlineStr">
        <is>
          <t>Government of Japan — MEXT</t>
        </is>
      </c>
      <c r="G17" s="7" t="inlineStr">
        <is>
          <t>Asia</t>
        </is>
      </c>
      <c r="H17" s="7" t="inlineStr">
        <is>
          <t>Japan</t>
        </is>
      </c>
      <c r="I17" s="7" t="inlineStr">
        <is>
          <t>Bachelor</t>
        </is>
      </c>
      <c r="J17" s="7" t="inlineStr">
        <is>
          <t>Mathematics &amp; Natural Sciences</t>
        </is>
      </c>
      <c r="K17" s="7" t="inlineStr">
        <is>
          <t>Full</t>
        </is>
      </c>
      <c r="L17" s="7" t="inlineStr">
        <is>
          <t>Full Ride (100% Tuition, ¥117,000/mo Stipend, Round-Trip Airfare, Free Japanese Prep)</t>
        </is>
      </c>
      <c r="M17" s="7" t="inlineStr">
        <is>
          <t>May – June (Annual embassy recommendation window)</t>
        </is>
      </c>
      <c r="N17" s="7" t="inlineStr">
        <is>
          <t>High school graduate; age 17 to 25; willing to study in Japanese language (includes 1-year preparatory training); strong math/science background.</t>
        </is>
      </c>
      <c r="O17" s="7" t="inlineStr">
        <is>
          <t>High: Written Exams (Math, English, Japanese/Science) + Embassy Interview + Medical Certificate</t>
        </is>
      </c>
      <c r="P17" s="7" t="inlineStr">
        <is>
          <t>Young High School Graduates Open to Learning Japanese</t>
        </is>
      </c>
      <c r="Q17" s="7"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17" s="7"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17" s="7" t="inlineStr">
        <is>
          <t>Primary Screening by Embassies (Document review, English/Japanese written exams, and formal interview) → Secondary Screening by MEXT in Tokyo.</t>
        </is>
      </c>
      <c r="T17" s="7" t="inlineStr">
        <is>
          <t>Diligent science or humanities graduates who excel in embassy written exams and present a rigorous, feasible research proposal for their prospective Japanese laboratory.</t>
        </is>
      </c>
      <c r="U17" s="7" t="n"/>
      <c r="V17" s="7" t="inlineStr">
        <is>
          <t>https://www.studyinjapan.go.jp</t>
        </is>
      </c>
      <c r="W17" s="7" t="n"/>
      <c r="X17" s="7" t="n"/>
      <c r="Y17" s="7" t="n"/>
      <c r="Z17" s="7" t="inlineStr">
        <is>
          <t>STEM</t>
        </is>
      </c>
      <c r="AA17" s="4" t="n"/>
      <c r="AB17" s="4" t="n"/>
      <c r="AC17" s="7">
        <f>IF(AND(E17&lt;&gt;"",COUNTIF($E$2:$E$800,E17)&gt;1),"DUPLICATE","")</f>
        <v/>
      </c>
    </row>
    <row r="18" ht="144" customHeight="1" s="6">
      <c r="A18" s="7" t="inlineStr">
        <is>
          <t>global-korea-scholarship-gks-undergraduate-bachelor</t>
        </is>
      </c>
      <c r="B18" s="7" t="inlineStr">
        <is>
          <t>Open</t>
        </is>
      </c>
      <c r="C18" s="7" t="n"/>
      <c r="D18" s="7" t="inlineStr">
        <is>
          <t>Scholarship</t>
        </is>
      </c>
      <c r="E18" s="7" t="inlineStr">
        <is>
          <t>Global Korea Scholarship (GKS) Undergraduate</t>
        </is>
      </c>
      <c r="F18" s="7" t="inlineStr">
        <is>
          <t>Government of South Korea — NIIED</t>
        </is>
      </c>
      <c r="G18" s="7" t="inlineStr">
        <is>
          <t>Asia</t>
        </is>
      </c>
      <c r="H18" s="7" t="inlineStr">
        <is>
          <t>South Korea</t>
        </is>
      </c>
      <c r="I18" s="7" t="inlineStr">
        <is>
          <t>Bachelor</t>
        </is>
      </c>
      <c r="J18" s="7" t="inlineStr">
        <is>
          <t>All fields</t>
        </is>
      </c>
      <c r="K18" s="7" t="inlineStr">
        <is>
          <t>Full</t>
        </is>
      </c>
      <c r="L18" s="7" t="inlineStr">
        <is>
          <t>Full Ride (Tuition, KRW 900,000/mo Stipend, Settlement Allowance, Airfare, 1-Yr Korean Prep)</t>
        </is>
      </c>
      <c r="M18" s="7" t="inlineStr">
        <is>
          <t>Sep – Oct (Embassy Track) / Oct – Nov (University Track)</t>
        </is>
      </c>
      <c r="N18" s="7" t="inlineStr">
        <is>
          <t>High school graduate; age under 25; minimum GPA 2.64/4.0 (or top 20%); all academic majors.</t>
        </is>
      </c>
      <c r="O18" s="7" t="inlineStr">
        <is>
          <t>High: Personal Statement + Study Plan + 3 Recommendation Letters + Apostilled Transcripts</t>
        </is>
      </c>
      <c r="P18" s="7" t="inlineStr">
        <is>
          <t>High School Seniors Seeking Full Sponsorship in Korea</t>
        </is>
      </c>
      <c r="Q18" s="7" t="inlineStr">
        <is>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is>
      </c>
      <c r="R18" s="7" t="inlineStr">
        <is>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is>
      </c>
      <c r="S18" s="7" t="inlineStr">
        <is>
          <t>Document Screening (40%), Embassy/University Interviews (35%), Language/Academic Aptitude Assessment (25%).</t>
        </is>
      </c>
      <c r="T18" s="7" t="inlineStr">
        <is>
          <t>Multilingual graduates with strong GPAs who demonstrate clear alignment with South Korea's technological or cultural industries in their study plans.</t>
        </is>
      </c>
      <c r="U18" s="7" t="n"/>
      <c r="V18" s="7" t="inlineStr">
        <is>
          <t>https://www.studyinkorea.go.kr</t>
        </is>
      </c>
      <c r="W18" s="7" t="n"/>
      <c r="X18" s="7" t="n"/>
      <c r="Y18" s="7" t="n"/>
      <c r="Z18" s="7" t="n"/>
      <c r="AA18" s="4" t="n"/>
      <c r="AB18" s="4" t="n"/>
      <c r="AC18" s="7">
        <f>IF(AND(E18&lt;&gt;"",COUNTIF($E$2:$E$800,E18)&gt;1),"DUPLICATE","")</f>
        <v/>
      </c>
    </row>
    <row r="19" ht="72" customHeight="1" s="6">
      <c r="A19" s="7" t="inlineStr">
        <is>
          <t>chinese-government-scholarship-csc-undergraduate-bachelor</t>
        </is>
      </c>
      <c r="B19" s="7" t="inlineStr">
        <is>
          <t>Open</t>
        </is>
      </c>
      <c r="C19" s="7" t="n"/>
      <c r="D19" s="7" t="inlineStr">
        <is>
          <t>Scholarship</t>
        </is>
      </c>
      <c r="E19" s="7" t="inlineStr">
        <is>
          <t>Chinese Government Scholarship (CSC) Undergraduate</t>
        </is>
      </c>
      <c r="F19" s="7" t="inlineStr">
        <is>
          <t>China Scholarship Council</t>
        </is>
      </c>
      <c r="G19" s="7" t="inlineStr">
        <is>
          <t>Asia</t>
        </is>
      </c>
      <c r="H19" s="7" t="inlineStr">
        <is>
          <t>China</t>
        </is>
      </c>
      <c r="I19" s="7" t="inlineStr">
        <is>
          <t>Bachelor</t>
        </is>
      </c>
      <c r="J19" s="7" t="inlineStr">
        <is>
          <t>All fields</t>
        </is>
      </c>
      <c r="K19" s="7" t="inlineStr">
        <is>
          <t>Full</t>
        </is>
      </c>
      <c r="L19" s="7" t="inlineStr">
        <is>
          <t>Full Ride (Tuition Waiver, Free On-Campus Dorm, CNY 2,500/mo Stipend, Medical Insurance)</t>
        </is>
      </c>
      <c r="M19" s="7" t="inlineStr">
        <is>
          <t>Dec – April (Varies by host university)</t>
        </is>
      </c>
      <c r="N19" s="7" t="inlineStr">
        <is>
          <t>Non-Chinese citizen; high school diploma; age under 25; programs available in English or Chinese medium.</t>
        </is>
      </c>
      <c r="O19" s="7" t="inlineStr">
        <is>
          <t>Medium: Application Form + High School Transcript + Physical Examination Form + Non-Criminal Record</t>
        </is>
      </c>
      <c r="P19" s="7" t="inlineStr">
        <is>
          <t>Undergraduates Seeking Direct University Entry in China</t>
        </is>
      </c>
      <c r="Q19" s="7" t="n"/>
      <c r="R19" s="7" t="n"/>
      <c r="S19" s="7" t="n"/>
      <c r="T19" s="7" t="n"/>
      <c r="U19" s="7" t="n"/>
      <c r="V19" s="7" t="n"/>
      <c r="W19" s="7" t="n"/>
      <c r="X19" s="7" t="n"/>
      <c r="Y19" s="7" t="n"/>
      <c r="Z19" s="7" t="n"/>
      <c r="AA19" s="4" t="n"/>
      <c r="AB19" s="4" t="n"/>
      <c r="AC19" s="7">
        <f>IF(AND(E19&lt;&gt;"",COUNTIF($E$2:$E$800,E19)&gt;1),"DUPLICATE","")</f>
        <v/>
      </c>
    </row>
    <row r="20" ht="57.6" customHeight="1" s="6">
      <c r="A20" s="7" t="inlineStr">
        <is>
          <t>asean-undergraduate-scholarships-aus-bachelor</t>
        </is>
      </c>
      <c r="B20" s="7" t="inlineStr">
        <is>
          <t>Open</t>
        </is>
      </c>
      <c r="C20" s="7" t="n"/>
      <c r="D20" s="7" t="inlineStr">
        <is>
          <t>Scholarship</t>
        </is>
      </c>
      <c r="E20" s="7" t="inlineStr">
        <is>
          <t>ASEAN Undergraduate Scholarships (AUS)</t>
        </is>
      </c>
      <c r="F20" s="7" t="inlineStr">
        <is>
          <t>National University of Singapore / NTU / SMU</t>
        </is>
      </c>
      <c r="G20" s="7" t="inlineStr">
        <is>
          <t>Asia</t>
        </is>
      </c>
      <c r="H20" s="7" t="inlineStr">
        <is>
          <t>Singapore</t>
        </is>
      </c>
      <c r="I20" s="7" t="inlineStr">
        <is>
          <t>Bachelor</t>
        </is>
      </c>
      <c r="J20" s="7" t="inlineStr">
        <is>
          <t>All fields</t>
        </is>
      </c>
      <c r="K20" s="7" t="inlineStr">
        <is>
          <t>Full</t>
        </is>
      </c>
      <c r="L20" s="7" t="inlineStr">
        <is>
          <t>Full Tuition + Accommodation Allowance + Annual Living Allowance (approx. SGD 5,800/yr living)</t>
        </is>
      </c>
      <c r="M20" s="7" t="inlineStr">
        <is>
          <t>Mar – May (Aligned with university admission cycles)</t>
        </is>
      </c>
      <c r="N20" s="7" t="inlineStr">
        <is>
          <t>Citizens of ASEAN member countries (excluding Singapore); excellent Singapore-Cambridge GCE A-Level, IB, or high school results.</t>
        </is>
      </c>
      <c r="O20" s="7" t="inlineStr">
        <is>
          <t>Medium: University Admission Application + Separate Financial/Merit Scholarship Form</t>
        </is>
      </c>
      <c r="P20" s="7" t="inlineStr">
        <is>
          <t>Top-Tier High School Students from Southeast Asia</t>
        </is>
      </c>
      <c r="Q20" s="7" t="n"/>
      <c r="R20" s="7" t="n"/>
      <c r="S20" s="7" t="n"/>
      <c r="T20" s="7" t="n"/>
      <c r="U20" s="7" t="n"/>
      <c r="V20" s="7" t="n"/>
      <c r="W20" s="7" t="n"/>
      <c r="X20" s="7" t="n"/>
      <c r="Y20" s="7" t="n"/>
      <c r="Z20" s="7" t="n"/>
      <c r="AA20" s="4" t="n"/>
      <c r="AB20" s="4" t="n"/>
      <c r="AC20" s="7">
        <f>IF(AND(E20&lt;&gt;"",COUNTIF($E$2:$E$800,E20)&gt;1),"DUPLICATE","")</f>
        <v/>
      </c>
    </row>
    <row r="21" ht="144" customHeight="1" s="6">
      <c r="A21" s="7" t="inlineStr">
        <is>
          <t>global-korea-scholarship-gks-graduate-master</t>
        </is>
      </c>
      <c r="B21" s="7" t="inlineStr">
        <is>
          <t>Open</t>
        </is>
      </c>
      <c r="C21" s="7" t="n"/>
      <c r="D21" s="7" t="inlineStr">
        <is>
          <t>Scholarship</t>
        </is>
      </c>
      <c r="E21" s="7" t="inlineStr">
        <is>
          <t>Global Korea Scholarship (GKS) Graduate</t>
        </is>
      </c>
      <c r="F21" s="7" t="inlineStr">
        <is>
          <t>Government of South Korea — NIIED</t>
        </is>
      </c>
      <c r="G21" s="7" t="inlineStr">
        <is>
          <t>Asia</t>
        </is>
      </c>
      <c r="H21" s="7" t="inlineStr">
        <is>
          <t>South Korea</t>
        </is>
      </c>
      <c r="I21" s="7" t="inlineStr">
        <is>
          <t>Master</t>
        </is>
      </c>
      <c r="J21" s="7" t="inlineStr">
        <is>
          <t>All fields</t>
        </is>
      </c>
      <c r="K21" s="7" t="inlineStr">
        <is>
          <t>Full</t>
        </is>
      </c>
      <c r="L21" s="7" t="inlineStr">
        <is>
          <t>Full Ride (Full Tuition, KRW 1,000,000/mo Stipend, Research/Settlement Allowance, Airfare, 1-Yr Korean Prep)</t>
        </is>
      </c>
      <c r="M21" s="7" t="inlineStr">
        <is>
          <t>Feb – March (Embassy) / March – April (University)</t>
        </is>
      </c>
      <c r="N21" s="7" t="inlineStr">
        <is>
          <t>Bachelor’s degree; age under 40; minimum GPA 2.64/4.0 (or 80%+); all fields.</t>
        </is>
      </c>
      <c r="O21" s="7" t="inlineStr">
        <is>
          <t>High: Statement of Purpose + Global Network Study Plan + 2 Recommendation Letters</t>
        </is>
      </c>
      <c r="P21" s="7" t="inlineStr">
        <is>
          <t>Bachelor's Graduates Seeking Master's in South Korea</t>
        </is>
      </c>
      <c r="Q21" s="7" t="inlineStr">
        <is>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is>
      </c>
      <c r="R21" s="7" t="inlineStr">
        <is>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is>
      </c>
      <c r="S21" s="7" t="inlineStr">
        <is>
          <t>Document Screening (40%), Embassy/University Interviews (35%), Language/Academic Aptitude Assessment (25%).</t>
        </is>
      </c>
      <c r="T21" s="7" t="inlineStr">
        <is>
          <t>Multilingual graduates with strong GPAs who demonstrate clear alignment with South Korea's technological or cultural industries in their study plans.</t>
        </is>
      </c>
      <c r="U21" s="7" t="n"/>
      <c r="V21" s="7" t="inlineStr">
        <is>
          <t>https://www.studyinkorea.go.kr</t>
        </is>
      </c>
      <c r="W21" s="7" t="n"/>
      <c r="X21" s="7" t="n"/>
      <c r="Y21" s="7" t="n"/>
      <c r="Z21" s="7" t="n"/>
      <c r="AA21" s="4" t="n"/>
      <c r="AB21" s="4" t="n"/>
      <c r="AC21" s="7">
        <f>IF(AND(E21&lt;&gt;"",COUNTIF($E$2:$E$800,E21)&gt;1),"DUPLICATE","")</f>
        <v/>
      </c>
    </row>
    <row r="22" ht="129.6" customHeight="1" s="6">
      <c r="A22" s="7" t="inlineStr">
        <is>
          <t>mext-research-student-scholarship-master</t>
        </is>
      </c>
      <c r="B22" s="7" t="inlineStr">
        <is>
          <t>Open</t>
        </is>
      </c>
      <c r="C22" s="7" t="n"/>
      <c r="D22" s="7" t="inlineStr">
        <is>
          <t>Scholarship</t>
        </is>
      </c>
      <c r="E22" s="7" t="inlineStr">
        <is>
          <t>MEXT Research Student Scholarship</t>
        </is>
      </c>
      <c r="F22" s="7" t="inlineStr">
        <is>
          <t>Government of Japan — MEXT</t>
        </is>
      </c>
      <c r="G22" s="7" t="inlineStr">
        <is>
          <t>Asia</t>
        </is>
      </c>
      <c r="H22" s="7" t="inlineStr">
        <is>
          <t>Japan</t>
        </is>
      </c>
      <c r="I22" s="7" t="inlineStr">
        <is>
          <t>Master</t>
        </is>
      </c>
      <c r="J22" s="7" t="inlineStr">
        <is>
          <t>All fields</t>
        </is>
      </c>
      <c r="K22" s="7" t="inlineStr">
        <is>
          <t>Full</t>
        </is>
      </c>
      <c r="L22" s="7" t="inlineStr">
        <is>
          <t>Full Ride (Tuition, ¥144,000/mo Stipend, Round-Trip Airfare, Free Japanese Prep)</t>
        </is>
      </c>
      <c r="M22" s="7" t="inlineStr">
        <is>
          <t>April – June (Embassy track varies by country)</t>
        </is>
      </c>
      <c r="N22" s="7" t="inlineStr">
        <is>
          <t>Bachelor’s degree; age under 35; willing to conduct graduate research in Japan (English or Japanese tracks).</t>
        </is>
      </c>
      <c r="O22" s="7" t="inlineStr">
        <is>
          <t>High: Field of Study &amp; Research Program Plan + Placement Preference Form + Embassy Exams</t>
        </is>
      </c>
      <c r="P22" s="7" t="inlineStr">
        <is>
          <t>Bachelor's Graduates Seeking Research or Master's Degrees in Japan</t>
        </is>
      </c>
      <c r="Q22" s="7"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22" s="7"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22" s="7" t="inlineStr">
        <is>
          <t>Primary Screening by Embassies (Document review, English/Japanese written exams, and formal interview) → Secondary Screening by MEXT in Tokyo.</t>
        </is>
      </c>
      <c r="T22" s="7" t="inlineStr">
        <is>
          <t>Diligent science or humanities graduates who excel in embassy written exams and present a rigorous, feasible research proposal for their prospective Japanese laboratory.</t>
        </is>
      </c>
      <c r="U22" s="7" t="n"/>
      <c r="V22" s="7" t="inlineStr">
        <is>
          <t>https://www.studyinjapan.go.jp</t>
        </is>
      </c>
      <c r="W22" s="7" t="n"/>
      <c r="X22" s="7" t="n"/>
      <c r="Y22" s="7" t="n"/>
      <c r="Z22" s="7" t="inlineStr">
        <is>
          <t>Research</t>
        </is>
      </c>
      <c r="AA22" s="4" t="n"/>
      <c r="AB22" s="4" t="n"/>
      <c r="AC22" s="7">
        <f>IF(AND(E22&lt;&gt;"",COUNTIF($E$2:$E$800,E22)&gt;1),"DUPLICATE","")</f>
        <v/>
      </c>
    </row>
    <row r="23" ht="57.6" customHeight="1" s="6">
      <c r="A23" s="7" t="inlineStr">
        <is>
          <t>adb-japan-scholarship-program-adb-jsp-master</t>
        </is>
      </c>
      <c r="B23" s="7" t="inlineStr">
        <is>
          <t>Open</t>
        </is>
      </c>
      <c r="C23" s="7" t="n"/>
      <c r="D23" s="7" t="inlineStr">
        <is>
          <t>Scholarship</t>
        </is>
      </c>
      <c r="E23" s="7" t="inlineStr">
        <is>
          <t>ADB-Japan Scholarship Program (ADB-JSP)</t>
        </is>
      </c>
      <c r="F23" s="7" t="inlineStr">
        <is>
          <t>Asian Development Bank &amp; Gov. of Japan</t>
        </is>
      </c>
      <c r="G23" s="7" t="inlineStr">
        <is>
          <t>Asia</t>
        </is>
      </c>
      <c r="H23" s="7" t="inlineStr">
        <is>
          <t>Japan</t>
        </is>
      </c>
      <c r="I23" s="7" t="inlineStr">
        <is>
          <t>Master</t>
        </is>
      </c>
      <c r="J23" s="7" t="inlineStr">
        <is>
          <t>Mathematics &amp; Natural Sciences, Business, Economics &amp; Management</t>
        </is>
      </c>
      <c r="K23" s="7" t="inlineStr">
        <is>
          <t>Full</t>
        </is>
      </c>
      <c r="L23" s="7" t="inlineStr">
        <is>
          <t>Full Ride (Full Tuition, Monthly Subsistence &amp; Housing Allowance, Books, Medical Insurance, Airfare)</t>
        </is>
      </c>
      <c r="M23" s="7" t="inlineStr">
        <is>
          <t>Varies (Typically 3–6 months prior to intake)</t>
        </is>
      </c>
      <c r="N23" s="7" t="inlineStr">
        <is>
          <t>Citizen of ADB developing member country; Bachelor’s degree; minimum 2 years full-time professional experience; Economics, Management, Science, and Development fields.</t>
        </is>
      </c>
      <c r="O23" s="7" t="inlineStr">
        <is>
          <t>High: Admission Letter to Partner Univ + Income Proofs + Employer Certificate + 2 References</t>
        </is>
      </c>
      <c r="P23" s="7" t="inlineStr">
        <is>
          <t>Mid-Career Professionals from Developing Asian/Pacific Nations</t>
        </is>
      </c>
      <c r="Q23" s="7" t="n"/>
      <c r="R23" s="7" t="n"/>
      <c r="S23" s="7" t="n"/>
      <c r="T23" s="7" t="n"/>
      <c r="U23" s="7" t="n"/>
      <c r="V23" s="7" t="n"/>
      <c r="W23" s="7" t="n"/>
      <c r="X23" s="7" t="n"/>
      <c r="Y23" s="7" t="n"/>
      <c r="Z23" s="7" t="inlineStr">
        <is>
          <t>STEM, Work experience</t>
        </is>
      </c>
      <c r="AA23" s="4" t="n"/>
      <c r="AB23" s="4" t="n"/>
      <c r="AC23" s="7">
        <f>IF(AND(E23&lt;&gt;"",COUNTIF($E$2:$E$800,E23)&gt;1),"DUPLICATE","")</f>
        <v/>
      </c>
    </row>
    <row r="24" ht="57.6" customHeight="1" s="6">
      <c r="A24" s="7" t="inlineStr">
        <is>
          <t>schwarzman-scholars-master-s-program-master</t>
        </is>
      </c>
      <c r="B24" s="7" t="inlineStr">
        <is>
          <t>Open</t>
        </is>
      </c>
      <c r="C24" s="7" t="n"/>
      <c r="D24" s="7" t="inlineStr">
        <is>
          <t>Scholarship</t>
        </is>
      </c>
      <c r="E24" s="7" t="inlineStr">
        <is>
          <t>Schwarzman Scholars Master’s Program</t>
        </is>
      </c>
      <c r="F24" s="7" t="inlineStr">
        <is>
          <t>Tsinghua University, Beijing, China</t>
        </is>
      </c>
      <c r="G24" s="7" t="inlineStr">
        <is>
          <t>Asia</t>
        </is>
      </c>
      <c r="H24" s="7" t="inlineStr">
        <is>
          <t>China</t>
        </is>
      </c>
      <c r="I24" s="7" t="inlineStr">
        <is>
          <t>Master</t>
        </is>
      </c>
      <c r="J24" s="7" t="inlineStr">
        <is>
          <t>All fields</t>
        </is>
      </c>
      <c r="K24" s="7" t="inlineStr">
        <is>
          <t>Full</t>
        </is>
      </c>
      <c r="L24" s="7" t="inlineStr">
        <is>
          <t>Full Ride (Full Tuition, Living Stipend, Room &amp; Board, Tours, Travel, Laptop, Health Insurance)</t>
        </is>
      </c>
      <c r="M24" s="7" t="inlineStr">
        <is>
          <t>September (Annual deadline for following year)</t>
        </is>
      </c>
      <c r="N24" s="7" t="inlineStr">
        <is>
          <t>Age 18 to 29; Bachelor’s degree in any field; exceptional leadership qualities and strong English proficiency.</t>
        </is>
      </c>
      <c r="O24" s="7" t="inlineStr">
        <is>
          <t>Very High: 3 Letters of Recommendation + Video Essay + 3 Short Personal Statements + Institutional Endorsement</t>
        </is>
      </c>
      <c r="P24" s="7" t="inlineStr">
        <is>
          <t>Elite Young Global Leaders and Public Policy Aspirants</t>
        </is>
      </c>
      <c r="Q24" s="7" t="n"/>
      <c r="R24" s="7" t="n"/>
      <c r="S24" s="7" t="n"/>
      <c r="T24" s="7" t="n"/>
      <c r="U24" s="7" t="n"/>
      <c r="V24" s="7" t="n"/>
      <c r="W24" s="7" t="n"/>
      <c r="X24" s="7" t="n"/>
      <c r="Y24" s="7" t="n"/>
      <c r="Z24" s="7" t="n"/>
      <c r="AA24" s="4" t="n"/>
      <c r="AB24" s="4" t="n"/>
      <c r="AC24" s="7">
        <f>IF(AND(E24&lt;&gt;"",COUNTIF($E$2:$E$800,E24)&gt;1),"DUPLICATE","")</f>
        <v/>
      </c>
    </row>
    <row r="25" ht="57.6" customHeight="1" s="6">
      <c r="A25" s="7" t="inlineStr">
        <is>
          <t>malaysia-international-scholarship-mis-master</t>
        </is>
      </c>
      <c r="B25" s="7" t="inlineStr">
        <is>
          <t>Open</t>
        </is>
      </c>
      <c r="C25" s="7" t="n"/>
      <c r="D25" s="7" t="inlineStr">
        <is>
          <t>Scholarship</t>
        </is>
      </c>
      <c r="E25" s="7" t="inlineStr">
        <is>
          <t>Malaysia International Scholarship (MIS)</t>
        </is>
      </c>
      <c r="F25" s="7" t="inlineStr">
        <is>
          <t>Government of Malaysia</t>
        </is>
      </c>
      <c r="G25" s="7" t="inlineStr">
        <is>
          <t>Asia</t>
        </is>
      </c>
      <c r="H25" s="7" t="inlineStr">
        <is>
          <t>Malaysia</t>
        </is>
      </c>
      <c r="I25" s="7" t="inlineStr">
        <is>
          <t>Master</t>
        </is>
      </c>
      <c r="J25" s="7" t="inlineStr">
        <is>
          <t>All fields</t>
        </is>
      </c>
      <c r="K25" s="7" t="inlineStr">
        <is>
          <t>Full</t>
        </is>
      </c>
      <c r="L25" s="7" t="inlineStr">
        <is>
          <t>Full Ride (Full Tuition, MYR 3,000/mo Living Allowance, Airfare, Health Insurance)</t>
        </is>
      </c>
      <c r="M25" s="7" t="inlineStr">
        <is>
          <t>April – May (Annual call)</t>
        </is>
      </c>
      <c r="N25" s="7" t="inlineStr">
        <is>
          <t>Citizen from select developing/Commonwealth/ASEAN nations; age under 45; Bachelor’s degree with minimum Second Class Upper (2:1) or GPA 3.5/4.0.</t>
        </is>
      </c>
      <c r="O25" s="7" t="inlineStr">
        <is>
          <t>Medium: University Admission Offer + Research Proposal + 2 Recommendation Letters</t>
        </is>
      </c>
      <c r="P25" s="7" t="inlineStr">
        <is>
          <t>Postgraduate Candidates Seeking English-Medium Study in Malaysia</t>
        </is>
      </c>
      <c r="Q25" s="7" t="n"/>
      <c r="R25" s="7" t="n"/>
      <c r="S25" s="7" t="n"/>
      <c r="T25" s="7" t="n"/>
      <c r="U25" s="7" t="n"/>
      <c r="V25" s="7" t="n"/>
      <c r="W25" s="7" t="n"/>
      <c r="X25" s="7" t="n"/>
      <c r="Y25" s="7" t="n"/>
      <c r="Z25" s="7" t="n"/>
      <c r="AA25" s="4" t="n"/>
      <c r="AB25" s="4" t="n"/>
      <c r="AC25" s="7">
        <f>IF(AND(E25&lt;&gt;"",COUNTIF($E$2:$E$800,E25)&gt;1),"DUPLICATE","")</f>
        <v/>
      </c>
    </row>
    <row r="26" ht="129.6" customHeight="1" s="6">
      <c r="A26" s="7" t="inlineStr">
        <is>
          <t>singapore-international-graduate-award-singa-phd</t>
        </is>
      </c>
      <c r="B26" s="7" t="inlineStr">
        <is>
          <t>Open</t>
        </is>
      </c>
      <c r="C26" s="7" t="n"/>
      <c r="D26" s="7" t="inlineStr">
        <is>
          <t>Scholarship</t>
        </is>
      </c>
      <c r="E26" s="7" t="inlineStr">
        <is>
          <t>Singapore International Graduate Award (SINGA)</t>
        </is>
      </c>
      <c r="F26" s="7" t="inlineStr">
        <is>
          <t>A*STAR, NUS, NTU, SUTD — Singapore</t>
        </is>
      </c>
      <c r="G26" s="7" t="inlineStr">
        <is>
          <t>Asia</t>
        </is>
      </c>
      <c r="H26" s="7" t="inlineStr">
        <is>
          <t>Singapore</t>
        </is>
      </c>
      <c r="I26" s="7" t="inlineStr">
        <is>
          <t>PhD</t>
        </is>
      </c>
      <c r="J26" s="7" t="inlineStr">
        <is>
          <t>Engineering &amp; Technology, Mathematics &amp; Natural Sciences</t>
        </is>
      </c>
      <c r="K26" s="7" t="inlineStr">
        <is>
          <t>Full</t>
        </is>
      </c>
      <c r="L26" s="7" t="inlineStr">
        <is>
          <t>Full Ride + Monthly Stipend (Full Tuition, SGD 2,200–2,700/mo Stipend, SGD 1,000 Settlement Grant, Airfare)</t>
        </is>
      </c>
      <c r="M26" s="7" t="inlineStr">
        <is>
          <t>June 1 (Jan Intake) / Dec 1 (August Intake)</t>
        </is>
      </c>
      <c r="N26" s="7" t="inlineStr">
        <is>
          <t>Open to all international students; excellent academic results in Bachelor’s or Master’s; strong passion for Research in Science and Engineering.</t>
        </is>
      </c>
      <c r="O26" s="7" t="inlineStr">
        <is>
          <t>High: Research Interest Statement + Academic Transcripts + 2 Academic Referee Reports</t>
        </is>
      </c>
      <c r="P26" s="7" t="inlineStr">
        <is>
          <t>STEM &amp; Engineering Doctoral Researchers</t>
        </is>
      </c>
      <c r="Q26" s="7" t="inlineStr">
        <is>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is>
      </c>
      <c r="R26" s="7" t="inlineStr">
        <is>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is>
      </c>
      <c r="S26" s="7" t="inlineStr">
        <is>
          <t>Academic Merit &amp; University Ranking (40%), Research Experience &amp; Publications (40%), Referee Credibility &amp; Statement Alignment (20%).</t>
        </is>
      </c>
      <c r="T26" s="7" t="inlineStr">
        <is>
          <t>Exceptional STEM graduates who have prior undergraduate laboratory exposure, strong physics/coding/biology backgrounds, and clear ambitions for industrial or academic research careers.</t>
        </is>
      </c>
      <c r="U26" s="7" t="n"/>
      <c r="V26" s="7" t="inlineStr">
        <is>
          <t>https://www.a-star.edu.sg/scholarships/for-graduate-studies/singapore-international-graduate-award-singa</t>
        </is>
      </c>
      <c r="W26" s="7" t="n"/>
      <c r="X26" s="7" t="n"/>
      <c r="Y26" s="7" t="n"/>
      <c r="Z26" s="7" t="inlineStr">
        <is>
          <t>STEM, Research</t>
        </is>
      </c>
      <c r="AA26" s="4" t="n"/>
      <c r="AB26" s="4" t="n"/>
      <c r="AC26" s="7">
        <f>IF(AND(E26&lt;&gt;"",COUNTIF($E$2:$E$800,E26)&gt;1),"DUPLICATE","")</f>
        <v/>
      </c>
    </row>
    <row r="27" ht="57.6" customHeight="1" s="6">
      <c r="A27" s="7" t="inlineStr">
        <is>
          <t>hong-kong-phd-fellowship-scheme-hkpfs-phd</t>
        </is>
      </c>
      <c r="B27" s="7" t="inlineStr">
        <is>
          <t>Open</t>
        </is>
      </c>
      <c r="C27" s="7" t="n"/>
      <c r="D27" s="7" t="inlineStr">
        <is>
          <t>Scholarship</t>
        </is>
      </c>
      <c r="E27" s="7" t="inlineStr">
        <is>
          <t>Hong Kong PhD Fellowship Scheme (HKPFS)</t>
        </is>
      </c>
      <c r="F27" s="7" t="inlineStr">
        <is>
          <t>RGC — Hong Kong</t>
        </is>
      </c>
      <c r="G27" s="7" t="inlineStr">
        <is>
          <t>Asia</t>
        </is>
      </c>
      <c r="H27" s="7" t="inlineStr">
        <is>
          <t>Hong Kong</t>
        </is>
      </c>
      <c r="I27" s="7" t="inlineStr">
        <is>
          <t>PhD</t>
        </is>
      </c>
      <c r="J27" s="7" t="inlineStr">
        <is>
          <t>All fields</t>
        </is>
      </c>
      <c r="K27" s="7" t="inlineStr">
        <is>
          <t>Stipend</t>
        </is>
      </c>
      <c r="L27" s="7" t="inlineStr">
        <is>
          <t>Generous Support (HK$331,600 / ~USD 42,500 annual stipend + HK$13,600/yr conference/travel allowance for 3 years)</t>
        </is>
      </c>
      <c r="M27" s="7" t="inlineStr">
        <is>
          <t>December (Annual cycle)</t>
        </is>
      </c>
      <c r="N27" s="7" t="inlineStr">
        <is>
          <t>Exceptional academic performance and research ability at world-ranked Hong Kong universities (HKU, CUHK, HKUST, CityU, PolyU, HKBU).</t>
        </is>
      </c>
      <c r="O27" s="7" t="inlineStr">
        <is>
          <t>Very High: Detailed Research Proposal + Academic Publications/Awards + 2 Expert Referee Reports</t>
        </is>
      </c>
      <c r="P27" s="7" t="inlineStr">
        <is>
          <t>Top-Tier Global PhD Researchers in Any Discipline</t>
        </is>
      </c>
      <c r="Q27" s="7" t="n"/>
      <c r="R27" s="7" t="n"/>
      <c r="S27" s="7" t="n"/>
      <c r="T27" s="7" t="n"/>
      <c r="U27" s="7" t="n"/>
      <c r="V27" s="7" t="n"/>
      <c r="W27" s="7" t="n"/>
      <c r="X27" s="7" t="n"/>
      <c r="Y27" s="7" t="n"/>
      <c r="Z27" s="7" t="inlineStr">
        <is>
          <t>Research</t>
        </is>
      </c>
      <c r="AA27" s="4" t="n"/>
      <c r="AB27" s="4" t="n"/>
      <c r="AC27" s="7">
        <f>IF(AND(E27&lt;&gt;"",COUNTIF($E$2:$E$800,E27)&gt;1),"DUPLICATE","")</f>
        <v/>
      </c>
    </row>
    <row r="28" ht="129.6" customHeight="1" s="6">
      <c r="A28" s="7" t="inlineStr">
        <is>
          <t>mext-university-recommendation-phd-scholarship-phd</t>
        </is>
      </c>
      <c r="B28" s="7" t="inlineStr">
        <is>
          <t>Open</t>
        </is>
      </c>
      <c r="C28" s="7" t="n"/>
      <c r="D28" s="7" t="inlineStr">
        <is>
          <t>Scholarship</t>
        </is>
      </c>
      <c r="E28" s="7" t="inlineStr">
        <is>
          <t>MEXT University Recommendation PhD Scholarship</t>
        </is>
      </c>
      <c r="F28" s="7" t="inlineStr">
        <is>
          <t>Top Japanese Imperial Universities — Tokyo, Kyoto, Osaka</t>
        </is>
      </c>
      <c r="G28" s="7" t="inlineStr">
        <is>
          <t>Asia</t>
        </is>
      </c>
      <c r="H28" s="7" t="inlineStr">
        <is>
          <t>Japan</t>
        </is>
      </c>
      <c r="I28" s="7" t="inlineStr">
        <is>
          <t>PhD</t>
        </is>
      </c>
      <c r="J28" s="7" t="inlineStr">
        <is>
          <t>All fields</t>
        </is>
      </c>
      <c r="K28" s="7" t="inlineStr">
        <is>
          <t>Full</t>
        </is>
      </c>
      <c r="L28" s="7" t="inlineStr">
        <is>
          <t>Full Ride (Tuition, ¥145,000/mo Stipend, Round-Trip Airfare)</t>
        </is>
      </c>
      <c r="M28" s="7" t="inlineStr">
        <is>
          <t>Dec – Feb (Handled directly via host university lab)</t>
        </is>
      </c>
      <c r="N28" s="7" t="inlineStr">
        <is>
          <t>Master’s degree; age under 35; accepted into a doctoral supervisor's lab at a participating Japanese national university.</t>
        </is>
      </c>
      <c r="O28" s="7" t="inlineStr">
        <is>
          <t>High: Official Acceptance from Japanese Professor + Detailed Doctoral Research Proposal</t>
        </is>
      </c>
      <c r="P28" s="7" t="inlineStr">
        <is>
          <t>Master's Graduates with Direct Professor Connections in Japan</t>
        </is>
      </c>
      <c r="Q28" s="7" t="inlineStr">
        <is>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is>
      </c>
      <c r="R28" s="7" t="inlineStr">
        <is>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is>
      </c>
      <c r="S28" s="7" t="inlineStr">
        <is>
          <t>Primary Screening by Embassies (Document review, English/Japanese written exams, and formal interview) → Secondary Screening by MEXT in Tokyo.</t>
        </is>
      </c>
      <c r="T28" s="7" t="inlineStr">
        <is>
          <t>Diligent science or humanities graduates who excel in embassy written exams and present a rigorous, feasible research proposal for their prospective Japanese laboratory.</t>
        </is>
      </c>
      <c r="U28" s="7" t="n"/>
      <c r="V28" s="7" t="inlineStr">
        <is>
          <t>https://www.studyinjapan.go.jp</t>
        </is>
      </c>
      <c r="W28" s="7" t="n"/>
      <c r="X28" s="7" t="n"/>
      <c r="Y28" s="7" t="n"/>
      <c r="Z28" s="7" t="n"/>
      <c r="AA28" s="4" t="n"/>
      <c r="AB28" s="4" t="n"/>
      <c r="AC28" s="7">
        <f>IF(AND(E28&lt;&gt;"",COUNTIF($E$2:$E$800,E28)&gt;1),"DUPLICATE","")</f>
        <v/>
      </c>
    </row>
    <row r="29" ht="43.2" customHeight="1" s="6">
      <c r="A29" s="7" t="inlineStr">
        <is>
          <t>mofa-taiwan-fellowship-phd</t>
        </is>
      </c>
      <c r="B29" s="7" t="inlineStr">
        <is>
          <t>Open</t>
        </is>
      </c>
      <c r="C29" s="7" t="n"/>
      <c r="D29" s="7" t="inlineStr">
        <is>
          <t>Scholarship</t>
        </is>
      </c>
      <c r="E29" s="7" t="inlineStr">
        <is>
          <t>MOFA Taiwan Fellowship</t>
        </is>
      </c>
      <c r="F29" s="7" t="inlineStr">
        <is>
          <t>Ministry of Foreign Affairs, Taiwan</t>
        </is>
      </c>
      <c r="G29" s="7" t="inlineStr">
        <is>
          <t>Asia</t>
        </is>
      </c>
      <c r="H29" s="7" t="inlineStr">
        <is>
          <t>Taiwan</t>
        </is>
      </c>
      <c r="I29" s="7" t="inlineStr">
        <is>
          <t>PhD</t>
        </is>
      </c>
      <c r="J29" s="7" t="inlineStr">
        <is>
          <t>Social Sciences &amp; Humanities</t>
        </is>
      </c>
      <c r="K29" s="7" t="inlineStr">
        <is>
          <t>Stipend</t>
        </is>
      </c>
      <c r="L29" s="7" t="inlineStr">
        <is>
          <t>Monthly Research Grant (NT$50,000 to NT$60,000 / ~$1,600–$2,000/mo + Airfare)</t>
        </is>
      </c>
      <c r="M29" s="7" t="inlineStr">
        <is>
          <t>June 30 (Annual call)</t>
        </is>
      </c>
      <c r="N29" s="7" t="inlineStr">
        <is>
          <t>Foreign professors, postdoctoral researchers, and PhD candidates conducting advanced research on Taiwan, cross-strait relations, or Indo-Pacific studies.</t>
        </is>
      </c>
      <c r="O29" s="7" t="inlineStr">
        <is>
          <t>Medium: Research Proposal + Curriculum Vitae + 2 Letters of Recommendation</t>
        </is>
      </c>
      <c r="P29" s="7" t="inlineStr">
        <is>
          <t>Advanced PhD Scholars and Researchers in Social Sciences/Humanities</t>
        </is>
      </c>
      <c r="Q29" s="7" t="n"/>
      <c r="R29" s="7" t="n"/>
      <c r="S29" s="7" t="n"/>
      <c r="T29" s="7" t="n"/>
      <c r="U29" s="7" t="n"/>
      <c r="V29" s="7" t="n"/>
      <c r="W29" s="7" t="n"/>
      <c r="X29" s="7" t="n"/>
      <c r="Y29" s="7" t="n"/>
      <c r="Z29" s="7" t="inlineStr">
        <is>
          <t>Research</t>
        </is>
      </c>
      <c r="AA29" s="4" t="n"/>
      <c r="AB29" s="4" t="n"/>
      <c r="AC29" s="7">
        <f>IF(AND(E29&lt;&gt;"",COUNTIF($E$2:$E$800,E29)&gt;1),"DUPLICATE","")</f>
        <v/>
      </c>
    </row>
    <row r="30" ht="72" customHeight="1" s="6">
      <c r="A30" s="7" t="inlineStr">
        <is>
          <t>stipendium-hungaricum-undergraduate-track-bachelor</t>
        </is>
      </c>
      <c r="B30" s="7" t="inlineStr">
        <is>
          <t>Open</t>
        </is>
      </c>
      <c r="C30" s="7" t="n"/>
      <c r="D30" s="7" t="inlineStr">
        <is>
          <t>Scholarship</t>
        </is>
      </c>
      <c r="E30" s="7" t="inlineStr">
        <is>
          <t>Stipendium Hungaricum (Undergraduate Track)</t>
        </is>
      </c>
      <c r="F30" s="7" t="inlineStr">
        <is>
          <t>Gov. of Hungary &amp; Tempus Public Foundation</t>
        </is>
      </c>
      <c r="G30" s="7" t="inlineStr">
        <is>
          <t>Europe</t>
        </is>
      </c>
      <c r="H30" s="7" t="inlineStr">
        <is>
          <t>Hungary</t>
        </is>
      </c>
      <c r="I30" s="7" t="inlineStr">
        <is>
          <t>Bachelor</t>
        </is>
      </c>
      <c r="J30" s="7" t="inlineStr">
        <is>
          <t>Engineering &amp; Technology, Health &amp; Life Sciences, Business, Economics &amp; Management, Architecture, Arts &amp; Design</t>
        </is>
      </c>
      <c r="K30" s="7" t="inlineStr">
        <is>
          <t>Full</t>
        </is>
      </c>
      <c r="L30" s="7" t="inlineStr">
        <is>
          <t>Full Ride (Tuition-free, Dormitory housing or housing allowance, HUF 43,700/mo stipend, Medical insurance)</t>
        </is>
      </c>
      <c r="M30" s="7" t="inlineStr">
        <is>
          <t>January 15 (Annual cycle)</t>
        </is>
      </c>
      <c r="N30" s="7" t="inlineStr">
        <is>
          <t>International students from eligible partner countries; high school diploma with good standing; fields spanning engineering, medicine, arts, and business.</t>
        </is>
      </c>
      <c r="O30" s="7" t="inlineStr">
        <is>
          <t>Medium: Online application + Medical Certificate + High School Transcripts + Motivation Letter</t>
        </is>
      </c>
      <c r="P30" s="7" t="inlineStr">
        <is>
          <t>High School Graduates Seeking Full Sponsorship in Central Europe</t>
        </is>
      </c>
      <c r="Q30" s="7" t="n"/>
      <c r="R30" s="7" t="n"/>
      <c r="S30" s="7" t="n"/>
      <c r="T30" s="7" t="n"/>
      <c r="U30" s="7" t="n"/>
      <c r="V30" s="7" t="n"/>
      <c r="W30" s="7" t="n"/>
      <c r="X30" s="7" t="n"/>
      <c r="Y30" s="7" t="n"/>
      <c r="Z30" s="7" t="inlineStr">
        <is>
          <t>STEM</t>
        </is>
      </c>
      <c r="AA30" s="4" t="n"/>
      <c r="AB30" s="4" t="n"/>
      <c r="AC30" s="7">
        <f>IF(AND(E30&lt;&gt;"",COUNTIF($E$2:$E$800,E30)&gt;1),"DUPLICATE","")</f>
        <v/>
      </c>
    </row>
    <row r="31" ht="57.6" customHeight="1" s="6">
      <c r="A31" s="7" t="inlineStr">
        <is>
          <t>t-rkiye-burslar-undergraduate-scholarship-bachelor</t>
        </is>
      </c>
      <c r="B31" s="7" t="inlineStr">
        <is>
          <t>Open</t>
        </is>
      </c>
      <c r="C31" s="7" t="n"/>
      <c r="D31" s="7" t="inlineStr">
        <is>
          <t>Scholarship</t>
        </is>
      </c>
      <c r="E31" s="7" t="inlineStr">
        <is>
          <t>Türkiye Bursları Undergraduate Scholarship</t>
        </is>
      </c>
      <c r="F31" s="7" t="inlineStr">
        <is>
          <t>Government of Turkey</t>
        </is>
      </c>
      <c r="G31" s="7" t="inlineStr">
        <is>
          <t>Europe</t>
        </is>
      </c>
      <c r="H31" s="7" t="inlineStr">
        <is>
          <t>Turkey</t>
        </is>
      </c>
      <c r="I31" s="7" t="inlineStr">
        <is>
          <t>Bachelor</t>
        </is>
      </c>
      <c r="J31" s="7" t="inlineStr">
        <is>
          <t>Health &amp; Life Sciences</t>
        </is>
      </c>
      <c r="K31" s="7" t="inlineStr">
        <is>
          <t>Full</t>
        </is>
      </c>
      <c r="L31" s="7" t="inlineStr">
        <is>
          <t>Full Ride (Tuition, University Placement, Accommodation, Health Insurance, Turkish Language Course, Airfare)</t>
        </is>
      </c>
      <c r="M31" s="7" t="inlineStr">
        <is>
          <t>February 20 (Annual cycle)</t>
        </is>
      </c>
      <c r="N31" s="7" t="inlineStr">
        <is>
          <t>International students worldwide; high school graduate; age under 21; minimum 70% grade average for general tracks (90% for medical tracks).</t>
        </is>
      </c>
      <c r="O31" s="7" t="inlineStr">
        <is>
          <t>High: Online Application + Letter of Intent + Reference Letters + Extracurricular Portfolio</t>
        </is>
      </c>
      <c r="P31" s="7" t="inlineStr">
        <is>
          <t>High School Seniors Under 21 Seeking Comprehensive State Funding</t>
        </is>
      </c>
      <c r="Q31" s="7" t="n"/>
      <c r="R31" s="7" t="n"/>
      <c r="S31" s="7" t="n"/>
      <c r="T31" s="7" t="n"/>
      <c r="U31" s="7" t="n"/>
      <c r="V31" s="7" t="n"/>
      <c r="W31" s="7" t="n"/>
      <c r="X31" s="7" t="n"/>
      <c r="Y31" s="7" t="n"/>
      <c r="Z31" s="7" t="n"/>
      <c r="AA31" s="4" t="n"/>
      <c r="AB31" s="4" t="n"/>
      <c r="AC31" s="7">
        <f>IF(AND(E31&lt;&gt;"",COUNTIF($E$2:$E$800,E31)&gt;1),"DUPLICATE","")</f>
        <v/>
      </c>
    </row>
    <row r="32" ht="57.6" customHeight="1" s="6">
      <c r="A32" s="7" t="inlineStr">
        <is>
          <t>nl-scholarship-holland-scholarship-bachelor</t>
        </is>
      </c>
      <c r="B32" s="7" t="inlineStr">
        <is>
          <t>Open</t>
        </is>
      </c>
      <c r="C32" s="7" t="n"/>
      <c r="D32" s="7" t="inlineStr">
        <is>
          <t>Scholarship</t>
        </is>
      </c>
      <c r="E32" s="7" t="inlineStr">
        <is>
          <t>NL Scholarship (Holland Scholarship)</t>
        </is>
      </c>
      <c r="F32" s="7" t="inlineStr">
        <is>
          <t>Dutch Ministry of Education &amp; Dutch Universities</t>
        </is>
      </c>
      <c r="G32" s="7" t="inlineStr">
        <is>
          <t>Europe</t>
        </is>
      </c>
      <c r="H32" s="7" t="inlineStr">
        <is>
          <t>Netherlands</t>
        </is>
      </c>
      <c r="I32" s="7" t="inlineStr">
        <is>
          <t>Bachelor</t>
        </is>
      </c>
      <c r="J32" s="7" t="inlineStr">
        <is>
          <t>Mathematics &amp; Natural Sciences</t>
        </is>
      </c>
      <c r="K32" s="7" t="inlineStr">
        <is>
          <t>Partial</t>
        </is>
      </c>
      <c r="L32" s="7" t="inlineStr">
        <is>
          <t>€5,000 Partial Grant (Paid out as a lump sum during the first year of study)</t>
        </is>
      </c>
      <c r="M32" s="7" t="inlineStr">
        <is>
          <t>May 1 or June 1 (Varies by participating Dutch university)</t>
        </is>
      </c>
      <c r="N32" s="7" t="inlineStr">
        <is>
          <t>Non-EEA international students admitted to a participating Bachelor’s or Master’s program at a Dutch research university or university of applied sciences.</t>
        </is>
      </c>
      <c r="O32" s="7" t="inlineStr">
        <is>
          <t>Low-Medium: University Admission + Separate NL Scholarship Motivation Statement</t>
        </is>
      </c>
      <c r="P32" s="7" t="inlineStr">
        <is>
          <t>Students Seeking Partial Support in the Netherlands</t>
        </is>
      </c>
      <c r="Q32" s="7" t="n"/>
      <c r="R32" s="7" t="n"/>
      <c r="S32" s="7" t="n"/>
      <c r="T32" s="7" t="n"/>
      <c r="U32" s="7" t="n"/>
      <c r="V32" s="7" t="n"/>
      <c r="W32" s="7" t="n"/>
      <c r="X32" s="7" t="n"/>
      <c r="Y32" s="7" t="n"/>
      <c r="Z32" s="7" t="inlineStr">
        <is>
          <t>STEM</t>
        </is>
      </c>
      <c r="AA32" s="4" t="n"/>
      <c r="AB32" s="4" t="n"/>
      <c r="AC32" s="7">
        <f>IF(AND(E32&lt;&gt;"",COUNTIF($E$2:$E$800,E32)&gt;1),"DUPLICATE","")</f>
        <v/>
      </c>
    </row>
    <row r="33" ht="144" customHeight="1" s="6">
      <c r="A33" s="7" t="inlineStr">
        <is>
          <t>erasmus-mundus-joint-master-s-emjm-master</t>
        </is>
      </c>
      <c r="B33" s="7" t="inlineStr">
        <is>
          <t>Open</t>
        </is>
      </c>
      <c r="C33" s="7" t="n"/>
      <c r="D33" s="7" t="inlineStr">
        <is>
          <t>Scholarship</t>
        </is>
      </c>
      <c r="E33" s="7" t="inlineStr">
        <is>
          <t>Erasmus Mundus Joint Master’s (EMJM)</t>
        </is>
      </c>
      <c r="F33" s="7" t="inlineStr">
        <is>
          <t>European Union</t>
        </is>
      </c>
      <c r="G33" s="7" t="inlineStr">
        <is>
          <t>Europe</t>
        </is>
      </c>
      <c r="H33" s="7" t="n"/>
      <c r="I33" s="7" t="inlineStr">
        <is>
          <t>Master</t>
        </is>
      </c>
      <c r="J33" s="7" t="inlineStr">
        <is>
          <t>All fields</t>
        </is>
      </c>
      <c r="K33" s="7" t="inlineStr">
        <is>
          <t>Full</t>
        </is>
      </c>
      <c r="L33" s="7" t="inlineStr">
        <is>
          <t>Full Ride (€1,400/month living allowance + full tuition waiver + travel &amp; installation costs)</t>
        </is>
      </c>
      <c r="M33" s="7" t="inlineStr">
        <is>
          <t>Oct – Jan (Varies by individual consortium programme; e.g., Dec/Jan)</t>
        </is>
      </c>
      <c r="N33" s="7" t="inlineStr">
        <is>
          <t>Open to all nationalities worldwide; holder of a Bachelor’s degree; excellent academic record; study across 2 to 4 different European universities.</t>
        </is>
      </c>
      <c r="O33" s="7" t="inlineStr">
        <is>
          <t>High: Tailored Motivation Letters per Consortium + CV + 2 Recommendation Letters + English Proof</t>
        </is>
      </c>
      <c r="P33" s="7" t="inlineStr">
        <is>
          <t>Elite Master's Candidates Wanting Multi-Country European Mobility</t>
        </is>
      </c>
      <c r="Q33" s="7" t="inlineStr">
        <is>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is>
      </c>
      <c r="R33" s="7" t="inlineStr">
        <is>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is>
      </c>
      <c r="S33" s="7" t="inlineStr">
        <is>
          <t>Academic excellence &amp; GPA (40%), Relevance of background field &amp; work experience (30%), Quality of motivation letter &amp; recommendation strength (30%).</t>
        </is>
      </c>
      <c r="T33" s="7" t="inlineStr">
        <is>
          <t>Globally minded graduates with strong interdisciplinary backgrounds who articulate clear cross-cultural adaptability and clear career goals in international organizations, research, or industry.</t>
        </is>
      </c>
      <c r="U33" s="7" t="n"/>
      <c r="V33" s="7" t="inlineStr">
        <is>
          <t>https://www.eacea.ec.europa.eu/scholarships/erasmus-mundus-catalogue_en</t>
        </is>
      </c>
      <c r="W33" s="7" t="n"/>
      <c r="X33" s="7" t="n"/>
      <c r="Y33" s="7" t="n"/>
      <c r="Z33" s="7" t="n"/>
      <c r="AA33" s="4" t="n"/>
      <c r="AB33" s="4" t="n"/>
      <c r="AC33" s="7">
        <f>IF(AND(E33&lt;&gt;"",COUNTIF($E$2:$E$800,E33)&gt;1),"DUPLICATE","")</f>
        <v/>
      </c>
    </row>
    <row r="34" ht="129.6" customHeight="1" s="6">
      <c r="A34" s="7" t="inlineStr">
        <is>
          <t>france-excellence-eiffel-scholarship-master</t>
        </is>
      </c>
      <c r="B34" s="7" t="inlineStr">
        <is>
          <t>Open</t>
        </is>
      </c>
      <c r="C34" s="7" t="n"/>
      <c r="D34" s="7" t="inlineStr">
        <is>
          <t>Scholarship</t>
        </is>
      </c>
      <c r="E34" s="7" t="inlineStr">
        <is>
          <t>France Excellence Eiffel Scholarship</t>
        </is>
      </c>
      <c r="F34" s="7" t="inlineStr">
        <is>
          <t>French Ministry for Europe and Foreign Affairs</t>
        </is>
      </c>
      <c r="G34" s="7" t="inlineStr">
        <is>
          <t>Europe</t>
        </is>
      </c>
      <c r="H34" s="7" t="inlineStr">
        <is>
          <t>France</t>
        </is>
      </c>
      <c r="I34" s="7" t="inlineStr">
        <is>
          <t>Master</t>
        </is>
      </c>
      <c r="J34" s="7" t="inlineStr">
        <is>
          <t>Education</t>
        </is>
      </c>
      <c r="K34" s="7" t="inlineStr">
        <is>
          <t>Full</t>
        </is>
      </c>
      <c r="L34" s="7" t="inlineStr">
        <is>
          <t>Full Support (€1,200/month living stipend for Master’s + international airfare + health insurance + cultural activities)</t>
        </is>
      </c>
      <c r="M34" s="7" t="inlineStr">
        <is>
          <t>January 6 (Internal university deadlines are typically Nov/Dec)</t>
        </is>
      </c>
      <c r="N34" s="7" t="inlineStr">
        <is>
          <t>International students; age under 29 for Master’s; nominated directly by a French higher education institution in 7 priority fields.</t>
        </is>
      </c>
      <c r="O34" s="7" t="inlineStr">
        <is>
          <t>Very High: University Admission Dossier + Institutional Nomination by French University</t>
        </is>
      </c>
      <c r="P34" s="7" t="inlineStr">
        <is>
          <t>High-Achieving Master's Applicants to French Universities</t>
        </is>
      </c>
      <c r="Q34" s="7" t="inlineStr">
        <is>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is>
      </c>
      <c r="R34" s="7" t="inlineStr">
        <is>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is>
      </c>
      <c r="S34" s="7" t="inlineStr">
        <is>
          <t>Academic excellence of the student (evaluated by expert committees in France), institutional internationalization strategy, and economic relevance of the applicant's professional project to their home country.</t>
        </is>
      </c>
      <c r="T34" s="7" t="inlineStr">
        <is>
          <t>Exceptional international applicants who initiate contact with French department heads early in Autumn to secure institutional sponsorship before the January deadline.</t>
        </is>
      </c>
      <c r="U34" s="7" t="n"/>
      <c r="V34" s="7" t="inlineStr">
        <is>
          <t>https://www.campusfrance.org/en/eiffel-scholarship-program</t>
        </is>
      </c>
      <c r="W34" s="7" t="n"/>
      <c r="X34" s="7" t="n"/>
      <c r="Y34" s="7" t="n"/>
      <c r="Z34" s="7" t="n"/>
      <c r="AA34" s="4" t="n"/>
      <c r="AB34" s="4" t="n"/>
      <c r="AC34" s="7">
        <f>IF(AND(E34&lt;&gt;"",COUNTIF($E$2:$E$800,E34)&gt;1),"DUPLICATE","")</f>
        <v/>
      </c>
    </row>
    <row r="35" ht="158.4" customHeight="1" s="6">
      <c r="A35" s="7" t="inlineStr">
        <is>
          <t>daad-study-scholarships-master-s-epos-general-master</t>
        </is>
      </c>
      <c r="B35" s="7" t="inlineStr">
        <is>
          <t>Open</t>
        </is>
      </c>
      <c r="C35" s="7" t="n"/>
      <c r="D35" s="7" t="inlineStr">
        <is>
          <t>Scholarship</t>
        </is>
      </c>
      <c r="E35" s="7" t="inlineStr">
        <is>
          <t>DAAD Study Scholarships – Master’s (EPOS &amp; General)</t>
        </is>
      </c>
      <c r="F35" s="7" t="inlineStr">
        <is>
          <t>German Academic Exchange Service</t>
        </is>
      </c>
      <c r="G35" s="7" t="inlineStr">
        <is>
          <t>Europe</t>
        </is>
      </c>
      <c r="H35" s="7" t="inlineStr">
        <is>
          <t>Germany</t>
        </is>
      </c>
      <c r="I35" s="7" t="inlineStr">
        <is>
          <t>Master</t>
        </is>
      </c>
      <c r="J35" s="7" t="inlineStr">
        <is>
          <t>All fields</t>
        </is>
      </c>
      <c r="K35" s="7" t="inlineStr">
        <is>
          <t>Full</t>
        </is>
      </c>
      <c r="L35" s="7" t="inlineStr">
        <is>
          <t>Full/Stipend Support (€992/month living allowance + health insurance + travel subsidy)</t>
        </is>
      </c>
      <c r="M35" s="7" t="inlineStr">
        <is>
          <t>Staggered (Varies by specific course or country window, typically Aug–Oct)</t>
        </is>
      </c>
      <c r="N35" s="7" t="inlineStr">
        <is>
          <t>Bachelor’s degree holder; professional experience required for EPOS development-related courses (usually 2 years); strong academic standing.</t>
        </is>
      </c>
      <c r="O35" s="7" t="inlineStr">
        <is>
          <t>High: DAAD Portal Application + University Admission + CV + Motivation Letter + References</t>
        </is>
      </c>
      <c r="P35" s="7" t="inlineStr">
        <is>
          <t>Graduates and Professionals Seeking Study in Germany</t>
        </is>
      </c>
      <c r="Q35" s="7" t="inlineStr">
        <is>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is>
      </c>
      <c r="R35" s="7" t="inlineStr">
        <is>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is>
      </c>
      <c r="S35" s="7" t="inlineStr">
        <is>
          <t>Academic achievement &amp; qualification (50%), Quality of study project / motivation (30%), Professional and personal suitability (20%).</t>
        </is>
      </c>
      <c r="T35" s="7" t="inlineStr">
        <is>
          <t>Highly structured candidates with clear research or career roadmaps who match German academic standards and secure university admission or professorial backing well in advance.</t>
        </is>
      </c>
      <c r="U35" s="7" t="n"/>
      <c r="V35" s="7" t="inlineStr">
        <is>
          <t>https://www.daad.de/en/study-and-research-in-germany/scholarships/</t>
        </is>
      </c>
      <c r="W35" s="7" t="n"/>
      <c r="X35" s="7" t="n"/>
      <c r="Y35" s="7" t="n"/>
      <c r="Z35" s="7" t="inlineStr">
        <is>
          <t>Work experience</t>
        </is>
      </c>
      <c r="AA35" s="4" t="n"/>
      <c r="AB35" s="4" t="n"/>
      <c r="AC35" s="7">
        <f>IF(AND(E35&lt;&gt;"",COUNTIF($E$2:$E$800,E35)&gt;1),"DUPLICATE","")</f>
        <v/>
      </c>
    </row>
    <row r="36" ht="129.6" customHeight="1" s="6">
      <c r="A36" s="7" t="inlineStr">
        <is>
          <t>eth-zurich-excellence-scholarship-opportunity-programme-esop</t>
        </is>
      </c>
      <c r="B36" s="7" t="inlineStr">
        <is>
          <t>Open</t>
        </is>
      </c>
      <c r="C36" s="7" t="n"/>
      <c r="D36" s="7" t="inlineStr">
        <is>
          <t>Scholarship</t>
        </is>
      </c>
      <c r="E36" s="7" t="inlineStr">
        <is>
          <t>ETH Zurich Excellence Scholarship &amp; Opportunity Programme (ESOP)</t>
        </is>
      </c>
      <c r="F36" s="7" t="inlineStr">
        <is>
          <t>ETH Zurich, Switzerland</t>
        </is>
      </c>
      <c r="G36" s="7" t="inlineStr">
        <is>
          <t>Europe</t>
        </is>
      </c>
      <c r="H36" s="7" t="inlineStr">
        <is>
          <t>Switzerland</t>
        </is>
      </c>
      <c r="I36" s="7" t="inlineStr">
        <is>
          <t>Master</t>
        </is>
      </c>
      <c r="J36" s="7" t="inlineStr">
        <is>
          <t>All fields</t>
        </is>
      </c>
      <c r="K36" s="7" t="inlineStr">
        <is>
          <t>Full</t>
        </is>
      </c>
      <c r="L36" s="7" t="inlineStr">
        <is>
          <t>Full Fellowship (CHF 12,000 per semester living/study allowance + complete tuition fee waiver)</t>
        </is>
      </c>
      <c r="M36" s="7" t="inlineStr">
        <is>
          <t>November 30 (For following Autumn intake)</t>
        </is>
      </c>
      <c r="N36" s="7" t="inlineStr">
        <is>
          <t>Excellent Master’s applicants belonging to the top 10% of their Bachelor’s graduating class; exceptional academic performance.</t>
        </is>
      </c>
      <c r="O36" s="7" t="inlineStr">
        <is>
          <t>Very High: Master's Admission Application + Pre-proposal / ESOP Pre-proposal Statement</t>
        </is>
      </c>
      <c r="P36" s="7" t="inlineStr">
        <is>
          <t>Top-Tier STEM &amp; Tech Graduates Targeting Switzerland</t>
        </is>
      </c>
      <c r="Q36" s="7" t="inlineStr">
        <is>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is>
      </c>
      <c r="R36" s="7" t="inlineStr">
        <is>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is>
      </c>
      <c r="S36" s="7" t="inlineStr">
        <is>
          <t>Absolute academic standing in Bachelor's degree (top 10% threshold), quality of motivation, and innovative research potential.</t>
        </is>
      </c>
      <c r="T36" s="7" t="inlineStr">
        <is>
          <t>Valedictorians and top-ranked engineering, physics, and computer science graduates from international universities with undergraduate research publications or advanced capstone projects.</t>
        </is>
      </c>
      <c r="U36" s="7" t="n"/>
      <c r="V36" s="7" t="inlineStr">
        <is>
          <t>https://ethz.ch/students/en/studies/financial/scholarships/excellencescholarship.html</t>
        </is>
      </c>
      <c r="W36" s="7" t="n"/>
      <c r="X36" s="7" t="n"/>
      <c r="Y36" s="7" t="n"/>
      <c r="Z36" s="7" t="n"/>
      <c r="AA36" s="4" t="n"/>
      <c r="AB36" s="4" t="n"/>
      <c r="AC36" s="7">
        <f>IF(AND(E36&lt;&gt;"",COUNTIF($E$2:$E$800,E36)&gt;1),"DUPLICATE","")</f>
        <v/>
      </c>
    </row>
    <row r="37" ht="57.6" customHeight="1" s="6">
      <c r="A37" s="7" t="inlineStr">
        <is>
          <t>commonwealth-master-s-scholarships-uk-master</t>
        </is>
      </c>
      <c r="B37" s="7" t="inlineStr">
        <is>
          <t>Open</t>
        </is>
      </c>
      <c r="C37" s="7" t="n"/>
      <c r="D37" s="7" t="inlineStr">
        <is>
          <t>Scholarship</t>
        </is>
      </c>
      <c r="E37" s="7" t="inlineStr">
        <is>
          <t>Commonwealth Master's Scholarships (UK)</t>
        </is>
      </c>
      <c r="F37" s="7" t="inlineStr">
        <is>
          <t>UK Foreign, Commonwealth &amp; Development Office</t>
        </is>
      </c>
      <c r="G37" s="7" t="inlineStr">
        <is>
          <t>Europe</t>
        </is>
      </c>
      <c r="H37" s="7" t="inlineStr">
        <is>
          <t>Ghana, Kenya, Nigeria, United Kingdom</t>
        </is>
      </c>
      <c r="I37" s="7" t="inlineStr">
        <is>
          <t>Master</t>
        </is>
      </c>
      <c r="J37" s="7" t="inlineStr">
        <is>
          <t>All fields</t>
        </is>
      </c>
      <c r="K37" s="7" t="inlineStr">
        <is>
          <t>Full</t>
        </is>
      </c>
      <c r="L37" s="7" t="inlineStr">
        <is>
          <t>Full Ride (Full tuition fees, £1,712 to £2,000/month stipend, return airfare, study travel grant)</t>
        </is>
      </c>
      <c r="M37" s="7" t="inlineStr">
        <is>
          <t>October 20 (Via national nominating agency and CSC system)</t>
        </is>
      </c>
      <c r="N37" s="7" t="inlineStr">
        <is>
          <t>Citizens/permanent residents of eligible developing Commonwealth countries (e.g., India, Kenya, Nigeria, Bangladesh, Tanzania, Uganda, Ghana).</t>
        </is>
      </c>
      <c r="O37" s="7" t="inlineStr">
        <is>
          <t>High: National Nominating Agency Screening + CSC Online Application Portal System</t>
        </is>
      </c>
      <c r="P37" s="7" t="inlineStr">
        <is>
          <t>Mid-Level Professionals from Eligible Commonwealth Nations</t>
        </is>
      </c>
      <c r="Q37" s="7" t="n"/>
      <c r="R37" s="7" t="n"/>
      <c r="S37" s="7" t="n"/>
      <c r="T37" s="7" t="n"/>
      <c r="U37" s="7" t="n"/>
      <c r="V37" s="7" t="n"/>
      <c r="W37" s="7" t="n"/>
      <c r="X37" s="7" t="n"/>
      <c r="Y37" s="7" t="n"/>
      <c r="Z37" s="7" t="n"/>
      <c r="AA37" s="4" t="n"/>
      <c r="AB37" s="4" t="n"/>
      <c r="AC37" s="7">
        <f>IF(AND(E37&lt;&gt;"",COUNTIF($E$2:$E$800,E37)&gt;1),"DUPLICATE","")</f>
        <v/>
      </c>
    </row>
    <row r="38" ht="57.6" customHeight="1" s="6">
      <c r="A38" s="7" t="inlineStr">
        <is>
          <t>swiss-government-excellence-scholarships-phd-research-phd</t>
        </is>
      </c>
      <c r="B38" s="7" t="inlineStr">
        <is>
          <t>Open</t>
        </is>
      </c>
      <c r="C38" s="7" t="n"/>
      <c r="D38" s="7" t="inlineStr">
        <is>
          <t>Scholarship</t>
        </is>
      </c>
      <c r="E38" s="7" t="inlineStr">
        <is>
          <t>Swiss Government Excellence Scholarships (PhD &amp; Research)</t>
        </is>
      </c>
      <c r="F38" s="7" t="inlineStr">
        <is>
          <t>Swiss Federal Commission</t>
        </is>
      </c>
      <c r="G38" s="7" t="inlineStr">
        <is>
          <t>Europe</t>
        </is>
      </c>
      <c r="H38" s="7" t="inlineStr">
        <is>
          <t>Switzerland</t>
        </is>
      </c>
      <c r="I38" s="7" t="inlineStr">
        <is>
          <t>PhD</t>
        </is>
      </c>
      <c r="J38" s="7" t="inlineStr">
        <is>
          <t>All fields</t>
        </is>
      </c>
      <c r="K38" s="7" t="inlineStr">
        <is>
          <t>Stipend</t>
        </is>
      </c>
      <c r="L38" s="7" t="inlineStr">
        <is>
          <t>Monthly Stipend &amp; Allowances (CHF 2,450/month living allowance + housing allowance + health insurance)</t>
        </is>
      </c>
      <c r="M38" s="7" t="inlineStr">
        <is>
          <t>Autumn (Varies by country, typically Sept–Dec)</t>
        </is>
      </c>
      <c r="N38" s="7" t="inlineStr">
        <is>
          <t>Postgraduate researchers holding a Master’s degree; doctoral candidates or postdoctoral researchers; mandatory acceptance letter from a Swiss professor.</t>
        </is>
      </c>
      <c r="O38" s="7" t="inlineStr">
        <is>
          <t>Very High: Comprehensive Research Proposal + Academic Supervisor Acceptance Letter + Official Transcripts</t>
        </is>
      </c>
      <c r="P38" s="7" t="inlineStr">
        <is>
          <t>Doctoral Researchers with Established Swiss Laboratory Contacts</t>
        </is>
      </c>
      <c r="Q38" s="7" t="n"/>
      <c r="R38" s="7" t="n"/>
      <c r="S38" s="7" t="n"/>
      <c r="T38" s="7" t="n"/>
      <c r="U38" s="7" t="n"/>
      <c r="V38" s="7" t="n"/>
      <c r="W38" s="7" t="n"/>
      <c r="X38" s="7" t="n"/>
      <c r="Y38" s="7" t="n"/>
      <c r="Z38" s="7" t="inlineStr">
        <is>
          <t>Research</t>
        </is>
      </c>
      <c r="AA38" s="4" t="n"/>
      <c r="AB38" s="4" t="n"/>
      <c r="AC38" s="7">
        <f>IF(AND(E38&lt;&gt;"",COUNTIF($E$2:$E$800,E38)&gt;1),"DUPLICATE","")</f>
        <v/>
      </c>
    </row>
    <row r="39" ht="158.4" customHeight="1" s="6">
      <c r="A39" s="7" t="inlineStr">
        <is>
          <t>daad-doctoral-programmes-in-germany-phd</t>
        </is>
      </c>
      <c r="B39" s="7" t="inlineStr">
        <is>
          <t>Open</t>
        </is>
      </c>
      <c r="C39" s="7" t="n"/>
      <c r="D39" s="7" t="inlineStr">
        <is>
          <t>Scholarship</t>
        </is>
      </c>
      <c r="E39" s="7" t="inlineStr">
        <is>
          <t>DAAD Doctoral Programmes in Germany</t>
        </is>
      </c>
      <c r="F39" s="7" t="inlineStr">
        <is>
          <t>German Academic Exchange Service</t>
        </is>
      </c>
      <c r="G39" s="7" t="inlineStr">
        <is>
          <t>Europe</t>
        </is>
      </c>
      <c r="H39" s="7" t="inlineStr">
        <is>
          <t>Germany</t>
        </is>
      </c>
      <c r="I39" s="7" t="inlineStr">
        <is>
          <t>PhD</t>
        </is>
      </c>
      <c r="J39" s="7" t="inlineStr">
        <is>
          <t>All fields</t>
        </is>
      </c>
      <c r="K39" s="7" t="inlineStr">
        <is>
          <t>Stipend</t>
        </is>
      </c>
      <c r="L39" s="7" t="inlineStr">
        <is>
          <t>Doctoral Grant (€1,300/month stipend + health insurance + family/rental allowances where applicable)</t>
        </is>
      </c>
      <c r="M39" s="7" t="inlineStr">
        <is>
          <t>Staggered (Multiple deadlines throughout the academic year)</t>
        </is>
      </c>
      <c r="N39" s="7" t="inlineStr">
        <is>
          <t>Master’s degree holder; accepted into a structured PhD program or holding a binding commitment from a German academic supervisor (Doktorvater/mutter).</t>
        </is>
      </c>
      <c r="O39" s="7" t="inlineStr">
        <is>
          <t>High: Detailed Doctoral Research Project Proposal + CV + University Supervisor Zusage</t>
        </is>
      </c>
      <c r="P39" s="7" t="inlineStr">
        <is>
          <t>Advanced Researchers Ready for German Doctoral Study</t>
        </is>
      </c>
      <c r="Q39" s="7" t="inlineStr">
        <is>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is>
      </c>
      <c r="R39" s="7" t="inlineStr">
        <is>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is>
      </c>
      <c r="S39" s="7" t="inlineStr">
        <is>
          <t>Academic achievement &amp; qualification (50%), Quality of study project / motivation (30%), Professional and personal suitability (20%).</t>
        </is>
      </c>
      <c r="T39" s="7" t="inlineStr">
        <is>
          <t>Highly structured candidates with clear research or career roadmaps who match German academic standards and secure university admission or professorial backing well in advance.</t>
        </is>
      </c>
      <c r="U39" s="7" t="n"/>
      <c r="V39" s="7" t="inlineStr">
        <is>
          <t>https://www.daad.de/en/study-and-research-in-germany/scholarships/</t>
        </is>
      </c>
      <c r="W39" s="7" t="n"/>
      <c r="X39" s="7" t="n"/>
      <c r="Y39" s="7" t="n"/>
      <c r="Z39" s="7" t="n"/>
      <c r="AA39" s="4" t="n"/>
      <c r="AB39" s="4" t="n"/>
      <c r="AC39" s="7">
        <f>IF(AND(E39&lt;&gt;"",COUNTIF($E$2:$E$800,E39)&gt;1),"DUPLICATE","")</f>
        <v/>
      </c>
    </row>
    <row r="40" ht="129.6" customHeight="1" s="6">
      <c r="A40" s="7" t="inlineStr">
        <is>
          <t>eiffel-excellence-scholarship-phd-track-phd</t>
        </is>
      </c>
      <c r="B40" s="7" t="inlineStr">
        <is>
          <t>Open</t>
        </is>
      </c>
      <c r="C40" s="7" t="n"/>
      <c r="D40" s="7" t="inlineStr">
        <is>
          <t>Scholarship</t>
        </is>
      </c>
      <c r="E40" s="7" t="inlineStr">
        <is>
          <t>Eiffel Excellence Scholarship (PhD Track)</t>
        </is>
      </c>
      <c r="F40" s="7" t="inlineStr">
        <is>
          <t>French Ministry for Europe and Foreign Affairs</t>
        </is>
      </c>
      <c r="G40" s="7" t="inlineStr">
        <is>
          <t>Europe</t>
        </is>
      </c>
      <c r="H40" s="7" t="inlineStr">
        <is>
          <t>France</t>
        </is>
      </c>
      <c r="I40" s="7" t="inlineStr">
        <is>
          <t>PhD</t>
        </is>
      </c>
      <c r="J40" s="7" t="inlineStr">
        <is>
          <t>All fields</t>
        </is>
      </c>
      <c r="K40" s="7" t="inlineStr">
        <is>
          <t>Stipend</t>
        </is>
      </c>
      <c r="L40" s="7" t="inlineStr">
        <is>
          <t>Doctoral Fellowship (€2,000/month living stipend + international travel + health insurance)</t>
        </is>
      </c>
      <c r="M40" s="7" t="inlineStr">
        <is>
          <t>January 6 (Submitted by French host institutions)</t>
        </is>
      </c>
      <c r="N40" s="7" t="inlineStr">
        <is>
          <t>International PhD candidates; age under 35; co-tutelle or joint doctoral arrangements between French and home-country universities heavily favored.</t>
        </is>
      </c>
      <c r="O40" s="7" t="inlineStr">
        <is>
          <t>Very High: Joint Institutional Application Dossier submitted via Campus France platform by the university.</t>
        </is>
      </c>
      <c r="P40" s="7" t="inlineStr">
        <is>
          <t>Young International Doctoral Researchers Collaborating with French Labs</t>
        </is>
      </c>
      <c r="Q40" s="7" t="inlineStr">
        <is>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is>
      </c>
      <c r="R40" s="7" t="inlineStr">
        <is>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is>
      </c>
      <c r="S40" s="7" t="inlineStr">
        <is>
          <t>Academic excellence of the student (evaluated by expert committees in France), institutional internationalization strategy, and economic relevance of the applicant's professional project to their home country.</t>
        </is>
      </c>
      <c r="T40" s="7" t="inlineStr">
        <is>
          <t>Exceptional international applicants who initiate contact with French department heads early in Autumn to secure institutional sponsorship before the January deadline.</t>
        </is>
      </c>
      <c r="U40" s="7" t="n"/>
      <c r="V40" s="7" t="inlineStr">
        <is>
          <t>https://www.campusfrance.org/en/eiffel-scholarship-program</t>
        </is>
      </c>
      <c r="W40" s="7" t="n"/>
      <c r="X40" s="7" t="n"/>
      <c r="Y40" s="7" t="n"/>
      <c r="Z40" s="7" t="n"/>
      <c r="AA40" s="4" t="n"/>
      <c r="AB40" s="4" t="n"/>
      <c r="AC40" s="7">
        <f>IF(AND(E40&lt;&gt;"",COUNTIF($E$2:$E$800,E40)&gt;1),"DUPLICATE","")</f>
        <v/>
      </c>
    </row>
    <row r="41" ht="72" customHeight="1" s="6">
      <c r="A41" s="7" t="inlineStr">
        <is>
          <t>government-of-ireland-postgraduate-scholarship-scheme-phd</t>
        </is>
      </c>
      <c r="B41" s="7" t="inlineStr">
        <is>
          <t>Open</t>
        </is>
      </c>
      <c r="C41" s="7" t="n"/>
      <c r="D41" s="7" t="inlineStr">
        <is>
          <t>Scholarship</t>
        </is>
      </c>
      <c r="E41" s="7" t="inlineStr">
        <is>
          <t>Government of Ireland Postgraduate Scholarship Scheme</t>
        </is>
      </c>
      <c r="F41" s="7" t="inlineStr">
        <is>
          <t>IRC</t>
        </is>
      </c>
      <c r="G41" s="7" t="inlineStr">
        <is>
          <t>Europe</t>
        </is>
      </c>
      <c r="H41" s="7" t="inlineStr">
        <is>
          <t>Ireland</t>
        </is>
      </c>
      <c r="I41" s="7" t="inlineStr">
        <is>
          <t>PhD</t>
        </is>
      </c>
      <c r="J41" s="7" t="inlineStr">
        <is>
          <t>Education</t>
        </is>
      </c>
      <c r="K41" s="7" t="inlineStr">
        <is>
          <t>Full</t>
        </is>
      </c>
      <c r="L41" s="7" t="inlineStr">
        <is>
          <t>Full Research Support (Stipend of €28,000+ per year + contribution to fees up to €5,750 + direct research expense grant)</t>
        </is>
      </c>
      <c r="M41" s="7" t="inlineStr">
        <is>
          <t>October / November (Annual call)</t>
        </is>
      </c>
      <c r="N41" s="7" t="inlineStr">
        <is>
          <t>Open to all nationalities pursuing a research Master’s or PhD at an eligible higher education institution in Ireland.</t>
        </is>
      </c>
      <c r="O41" s="7" t="inlineStr">
        <is>
          <t>High: Detailed Research Proposal + 2 Confidential Academic Referees + Supervisor Form</t>
        </is>
      </c>
      <c r="P41" s="7" t="inlineStr">
        <is>
          <t>Independent Researchers Seeking Fully Funded Irish PhDs</t>
        </is>
      </c>
      <c r="Q41" s="7" t="n"/>
      <c r="R41" s="7" t="n"/>
      <c r="S41" s="7" t="n"/>
      <c r="T41" s="7" t="n"/>
      <c r="U41" s="7" t="n"/>
      <c r="V41" s="7" t="n"/>
      <c r="W41" s="7" t="n"/>
      <c r="X41" s="7" t="n"/>
      <c r="Y41" s="7" t="n"/>
      <c r="Z41" s="7" t="inlineStr">
        <is>
          <t>Research</t>
        </is>
      </c>
      <c r="AA41" s="4" t="n"/>
      <c r="AB41" s="4" t="n"/>
      <c r="AC41" s="7">
        <f>IF(AND(E41&lt;&gt;"",COUNTIF($E$2:$E$800,E41)&gt;1),"DUPLICATE","")</f>
        <v/>
      </c>
    </row>
    <row r="42" ht="129.6" customHeight="1" s="6">
      <c r="A42" s="7" t="inlineStr">
        <is>
          <t>lester-b-pearson-international-scholarship-bachelor</t>
        </is>
      </c>
      <c r="B42" s="7" t="inlineStr">
        <is>
          <t>Open</t>
        </is>
      </c>
      <c r="C42" s="7" t="n"/>
      <c r="D42" s="7" t="inlineStr">
        <is>
          <t>Scholarship</t>
        </is>
      </c>
      <c r="E42" s="7" t="inlineStr">
        <is>
          <t>Lester B. Pearson International Scholarship</t>
        </is>
      </c>
      <c r="F42" s="7" t="inlineStr">
        <is>
          <t>University of Toronto — Canada</t>
        </is>
      </c>
      <c r="G42" s="7" t="inlineStr">
        <is>
          <t>North America</t>
        </is>
      </c>
      <c r="H42" s="7" t="inlineStr">
        <is>
          <t>Canada</t>
        </is>
      </c>
      <c r="I42" s="7" t="inlineStr">
        <is>
          <t>Bachelor</t>
        </is>
      </c>
      <c r="J42" s="7" t="inlineStr">
        <is>
          <t>All fields</t>
        </is>
      </c>
      <c r="K42" s="7" t="inlineStr">
        <is>
          <t>Full</t>
        </is>
      </c>
      <c r="L42" s="7" t="inlineStr">
        <is>
          <t>Full Ride (Full Tuition, Books, Incidental Fees, and Full Residential Support for 4 years)</t>
        </is>
      </c>
      <c r="M42" s="7" t="inlineStr">
        <is>
          <t>November 6 (School nomination required by Oct)</t>
        </is>
      </c>
      <c r="N42" s="7" t="inlineStr">
        <is>
          <t>International secondary school student; exceptional academic achievement, creativity, and recognized leadership potential.</t>
        </is>
      </c>
      <c r="O42" s="7" t="inlineStr">
        <is>
          <t>Very High: School Nomination + UofT Admission Application + Pearson Scholarship Application Form</t>
        </is>
      </c>
      <c r="P42" s="7" t="inlineStr">
        <is>
          <t>Elite International High School Achievers Targeting Canada</t>
        </is>
      </c>
      <c r="Q42" s="7" t="inlineStr">
        <is>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is>
      </c>
      <c r="R42" s="7" t="inlineStr">
        <is>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is>
      </c>
      <c r="S42" s="7" t="inlineStr">
        <is>
          <t>Academic standing &amp; intellectual curiosity (40%), Leadership within school and community (40%), Originality and creative problem-solving (20%).</t>
        </is>
      </c>
      <c r="T42" s="7" t="inlineStr">
        <is>
          <t>Top-ranked high school seniors who lead student councils, found non-profit ventures, or excel in international olympiads alongside straight-A report cards.</t>
        </is>
      </c>
      <c r="U42" s="7" t="n"/>
      <c r="V42" s="7" t="inlineStr">
        <is>
          <t>https://future.utoronto.ca/pearson/</t>
        </is>
      </c>
      <c r="W42" s="7" t="n"/>
      <c r="X42" s="7" t="n"/>
      <c r="Y42" s="7" t="n"/>
      <c r="Z42" s="7" t="n"/>
      <c r="AA42" s="4" t="n"/>
      <c r="AB42" s="4" t="n"/>
      <c r="AC42" s="7">
        <f>IF(AND(E42&lt;&gt;"",COUNTIF($E$2:$E$800,E42)&gt;1),"DUPLICATE","")</f>
        <v/>
      </c>
    </row>
    <row r="43" ht="57.6" customHeight="1" s="6">
      <c r="A43" s="7" t="inlineStr">
        <is>
          <t>schulich-leader-scholarships-bachelor</t>
        </is>
      </c>
      <c r="B43" s="7" t="inlineStr">
        <is>
          <t>Open</t>
        </is>
      </c>
      <c r="C43" s="7" t="n"/>
      <c r="D43" s="7" t="inlineStr">
        <is>
          <t>Scholarship</t>
        </is>
      </c>
      <c r="E43" s="7" t="inlineStr">
        <is>
          <t>Schulich Leader Scholarships</t>
        </is>
      </c>
      <c r="F43" s="7" t="inlineStr">
        <is>
          <t>20 Partner Universities across Canada</t>
        </is>
      </c>
      <c r="G43" s="7" t="inlineStr">
        <is>
          <t>North America</t>
        </is>
      </c>
      <c r="H43" s="7" t="inlineStr">
        <is>
          <t>Canada</t>
        </is>
      </c>
      <c r="I43" s="7" t="inlineStr">
        <is>
          <t>Bachelor</t>
        </is>
      </c>
      <c r="J43" s="7" t="inlineStr">
        <is>
          <t>Mathematics &amp; Natural Sciences, Business, Economics &amp; Management</t>
        </is>
      </c>
      <c r="K43" s="7" t="inlineStr">
        <is>
          <t>Partial</t>
        </is>
      </c>
      <c r="L43" s="7" t="inlineStr">
        <is>
          <t>$100,000 to $120,000 (Distributed over 4 years for Engineering, Science, or Math/Tech degrees)</t>
        </is>
      </c>
      <c r="M43" s="7" t="inlineStr">
        <is>
          <t>January 7 (Annual cycle)</t>
        </is>
      </c>
      <c r="N43" s="7" t="inlineStr">
        <is>
          <t>Canadian high school graduates (or permanent residents) entrepreneurial-minded and entering an eligible STEM undergraduate program.</t>
        </is>
      </c>
      <c r="O43" s="7" t="inlineStr">
        <is>
          <t>High: High School Nomination + Essay on Entrepreneurial Leadership + Extracurricular Record</t>
        </is>
      </c>
      <c r="P43" s="7" t="inlineStr">
        <is>
          <t>Canadian STEM Innovators &amp; High School Entrepreneurs</t>
        </is>
      </c>
      <c r="Q43" s="7" t="n"/>
      <c r="R43" s="7" t="n"/>
      <c r="S43" s="7" t="n"/>
      <c r="T43" s="7" t="n"/>
      <c r="U43" s="7" t="n"/>
      <c r="V43" s="7" t="n"/>
      <c r="W43" s="7" t="n"/>
      <c r="X43" s="7" t="n"/>
      <c r="Y43" s="7" t="n"/>
      <c r="Z43" s="7" t="inlineStr">
        <is>
          <t>STEM</t>
        </is>
      </c>
      <c r="AA43" s="4" t="n"/>
      <c r="AB43" s="4" t="n"/>
      <c r="AC43" s="7">
        <f>IF(AND(E43&lt;&gt;"",COUNTIF($E$2:$E$800,E43)&gt;1),"DUPLICATE","")</f>
        <v/>
      </c>
    </row>
    <row r="44" ht="57.6" customHeight="1" s="6">
      <c r="A44" s="7" t="inlineStr">
        <is>
          <t>amherst-college-international-financial-aid-bachelor</t>
        </is>
      </c>
      <c r="B44" s="7" t="inlineStr">
        <is>
          <t>Open</t>
        </is>
      </c>
      <c r="C44" s="7" t="n"/>
      <c r="D44" s="7" t="inlineStr">
        <is>
          <t>Scholarship</t>
        </is>
      </c>
      <c r="E44" s="7" t="inlineStr">
        <is>
          <t>Amherst College International Financial Aid</t>
        </is>
      </c>
      <c r="F44" s="7" t="inlineStr">
        <is>
          <t>Amherst College — USA</t>
        </is>
      </c>
      <c r="G44" s="7" t="inlineStr">
        <is>
          <t>North America</t>
        </is>
      </c>
      <c r="H44" s="7" t="inlineStr">
        <is>
          <t>United States</t>
        </is>
      </c>
      <c r="I44" s="7" t="inlineStr">
        <is>
          <t>Bachelor</t>
        </is>
      </c>
      <c r="J44" s="7" t="inlineStr">
        <is>
          <t>All fields</t>
        </is>
      </c>
      <c r="K44" s="7" t="inlineStr">
        <is>
          <t>Full</t>
        </is>
      </c>
      <c r="L44" s="7" t="inlineStr">
        <is>
          <t>100% Demonstrated Need (Full-need financial aid package covering tuition, housing, and meals)</t>
        </is>
      </c>
      <c r="M44" s="7" t="inlineStr">
        <is>
          <t>January 1 (Fall Regular Decision)</t>
        </is>
      </c>
      <c r="N44" s="7" t="inlineStr">
        <is>
          <t>International undergraduate student applying for freshman entry; exceptionally high academic rigor and financial need.</t>
        </is>
      </c>
      <c r="O44" s="7" t="inlineStr">
        <is>
          <t>High: Common App + CSS Profile + Tax/Income Documents + Mid-Year School Report</t>
        </is>
      </c>
      <c r="P44" s="7" t="inlineStr">
        <is>
          <t>Low-Income International Undergraduates Seeking US Private Education</t>
        </is>
      </c>
      <c r="Q44" s="7" t="n"/>
      <c r="R44" s="7" t="n"/>
      <c r="S44" s="7" t="n"/>
      <c r="T44" s="7" t="n"/>
      <c r="U44" s="7" t="n"/>
      <c r="V44" s="7" t="n"/>
      <c r="W44" s="7" t="n"/>
      <c r="X44" s="7" t="n"/>
      <c r="Y44" s="7" t="n"/>
      <c r="Z44" s="7" t="inlineStr">
        <is>
          <t>Need-based</t>
        </is>
      </c>
      <c r="AA44" s="4" t="n"/>
      <c r="AB44" s="4" t="n"/>
      <c r="AC44" s="7">
        <f>IF(AND(E44&lt;&gt;"",COUNTIF($E$2:$E$800,E44)&gt;1),"DUPLICATE","")</f>
        <v/>
      </c>
    </row>
    <row r="45" ht="57.6" customHeight="1" s="6">
      <c r="A45" s="7" t="inlineStr">
        <is>
          <t>ubc-international-major-entrance-scholarship-imes-bachelor</t>
        </is>
      </c>
      <c r="B45" s="7" t="inlineStr">
        <is>
          <t>Open</t>
        </is>
      </c>
      <c r="C45" s="7" t="n"/>
      <c r="D45" s="7" t="inlineStr">
        <is>
          <t>Scholarship</t>
        </is>
      </c>
      <c r="E45" s="7" t="inlineStr">
        <is>
          <t>UBC International Major Entrance Scholarship (IMES)</t>
        </is>
      </c>
      <c r="F45" s="7" t="inlineStr">
        <is>
          <t>University of British Columbia — Canada</t>
        </is>
      </c>
      <c r="G45" s="7" t="inlineStr">
        <is>
          <t>North America</t>
        </is>
      </c>
      <c r="H45" s="7" t="inlineStr">
        <is>
          <t>Canada</t>
        </is>
      </c>
      <c r="I45" s="7" t="inlineStr">
        <is>
          <t>Bachelor</t>
        </is>
      </c>
      <c r="J45" s="7" t="inlineStr">
        <is>
          <t>All fields</t>
        </is>
      </c>
      <c r="K45" s="7" t="inlineStr">
        <is>
          <t>Partial</t>
        </is>
      </c>
      <c r="L45" s="7" t="inlineStr">
        <is>
          <t>Partial to Substantial Tuition Awards (Renewable for up to 3 additional years of undergraduate study)</t>
        </is>
      </c>
      <c r="M45" s="7" t="inlineStr">
        <is>
          <t>January 15 (Annual cycle)</t>
        </is>
      </c>
      <c r="N45" s="7" t="inlineStr">
        <is>
          <t>International students entering UBC undergraduate programs; top-tier academic performance and strong community involvement.</t>
        </is>
      </c>
      <c r="O45" s="7" t="inlineStr">
        <is>
          <t>Medium: UBC Admission Application + Separate International Scholarship Form</t>
        </is>
      </c>
      <c r="P45" s="7" t="inlineStr">
        <is>
          <t>High-Achieving Undergraduates Seeking Study in Vancouver</t>
        </is>
      </c>
      <c r="Q45" s="7" t="n"/>
      <c r="R45" s="7" t="n"/>
      <c r="S45" s="7" t="n"/>
      <c r="T45" s="7" t="n"/>
      <c r="U45" s="7" t="n"/>
      <c r="V45" s="7" t="n"/>
      <c r="W45" s="7" t="n"/>
      <c r="X45" s="7" t="n"/>
      <c r="Y45" s="7" t="n"/>
      <c r="Z45" s="7" t="n"/>
      <c r="AA45" s="4" t="n"/>
      <c r="AB45" s="4" t="n"/>
      <c r="AC45" s="7">
        <f>IF(AND(E45&lt;&gt;"",COUNTIF($E$2:$E$800,E45)&gt;1),"DUPLICATE","")</f>
        <v/>
      </c>
    </row>
    <row r="46" ht="144" customHeight="1" s="6">
      <c r="A46" s="7" t="inlineStr">
        <is>
          <t>fulbright-foreign-student-program-usa-master</t>
        </is>
      </c>
      <c r="B46" s="7" t="inlineStr">
        <is>
          <t>Open</t>
        </is>
      </c>
      <c r="C46" s="7" t="n"/>
      <c r="D46" s="7" t="inlineStr">
        <is>
          <t>Scholarship</t>
        </is>
      </c>
      <c r="E46" s="7" t="inlineStr">
        <is>
          <t>Fulbright Foreign Student Program (USA)</t>
        </is>
      </c>
      <c r="F46" s="7" t="inlineStr">
        <is>
          <t>US Department of State / Binational Commissions</t>
        </is>
      </c>
      <c r="G46" s="7" t="inlineStr">
        <is>
          <t>North America</t>
        </is>
      </c>
      <c r="H46" s="7" t="inlineStr">
        <is>
          <t>United States</t>
        </is>
      </c>
      <c r="I46" s="7" t="inlineStr">
        <is>
          <t>Master</t>
        </is>
      </c>
      <c r="J46" s="7" t="inlineStr">
        <is>
          <t>All fields</t>
        </is>
      </c>
      <c r="K46" s="7" t="inlineStr">
        <is>
          <t>Full</t>
        </is>
      </c>
      <c r="L46" s="7" t="inlineStr">
        <is>
          <t>Full Ride (J-1 Visa sponsorship, tuition coverage, monthly living stipend, books, health insurance)</t>
        </is>
      </c>
      <c r="M46" s="7" t="inlineStr">
        <is>
          <t>Staggered (Varies by home country, typically Feb–Oct)</t>
        </is>
      </c>
      <c r="N46" s="7" t="inlineStr">
        <is>
          <t>Foreign nationals (non-US citizens) holding a Bachelor’s degree; strong leadership potential; commitment to return home post-study.</t>
        </is>
      </c>
      <c r="O46" s="7" t="inlineStr">
        <is>
          <t>High: Local U.S. Embassy / Fulbright Commission Application + 3 References + Standardized Tests</t>
        </is>
      </c>
      <c r="P46" s="7" t="inlineStr">
        <is>
          <t>Global Leaders &amp; Graduate Students Seeking US Master's Sponsorship</t>
        </is>
      </c>
      <c r="Q46" s="7" t="inlineStr">
        <is>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is>
      </c>
      <c r="R46" s="7" t="inlineStr">
        <is>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is>
      </c>
      <c r="S46" s="7" t="inlineStr">
        <is>
          <t>Academic excellence (35%), Leadership capability &amp; community impact (35%), Feasibility of study plan &amp; cross-cultural adaptability (30%).</t>
        </is>
      </c>
      <c r="T46" s="7" t="inlineStr">
        <is>
          <t>Passionate professionals and scholars who articulate a clear vision for how their US degree will solve developmental or academic challenges back home.</t>
        </is>
      </c>
      <c r="U46" s="7" t="n"/>
      <c r="V46" s="7" t="inlineStr">
        <is>
          <t>https://foreign.fulbrightonline.org/</t>
        </is>
      </c>
      <c r="W46" s="7" t="n"/>
      <c r="X46" s="7" t="n"/>
      <c r="Y46" s="7" t="n"/>
      <c r="Z46" s="7" t="n"/>
      <c r="AA46" s="4" t="n"/>
      <c r="AB46" s="4" t="n"/>
      <c r="AC46" s="7">
        <f>IF(AND(E46&lt;&gt;"",COUNTIF($E$2:$E$800,E46)&gt;1),"DUPLICATE","")</f>
        <v/>
      </c>
    </row>
    <row r="47" ht="57.6" customHeight="1" s="6">
      <c r="A47" s="7" t="inlineStr">
        <is>
          <t>rotary-peace-fellowship-north-america-centers-master</t>
        </is>
      </c>
      <c r="B47" s="7" t="inlineStr">
        <is>
          <t>Open</t>
        </is>
      </c>
      <c r="C47" s="7" t="n"/>
      <c r="D47" s="7" t="inlineStr">
        <is>
          <t>Scholarship</t>
        </is>
      </c>
      <c r="E47" s="7" t="inlineStr">
        <is>
          <t>Rotary Peace Fellowship (North America Centers)</t>
        </is>
      </c>
      <c r="F47" s="7" t="inlineStr">
        <is>
          <t>Rotary Foundation</t>
        </is>
      </c>
      <c r="G47" s="7" t="inlineStr">
        <is>
          <t>North America</t>
        </is>
      </c>
      <c r="H47" s="7" t="n"/>
      <c r="I47" s="7" t="inlineStr">
        <is>
          <t>Master</t>
        </is>
      </c>
      <c r="J47" s="7" t="inlineStr">
        <is>
          <t>Law, Governance &amp; Public Policy</t>
        </is>
      </c>
      <c r="K47" s="7" t="inlineStr">
        <is>
          <t>Full</t>
        </is>
      </c>
      <c r="L47" s="7" t="inlineStr">
        <is>
          <t>Full Ride (Tuition, room &amp; board, round-trip transportation, all internship/field study expenses)</t>
        </is>
      </c>
      <c r="M47" s="7" t="inlineStr">
        <is>
          <t>May 15 (Annual cycle for following year)</t>
        </is>
      </c>
      <c r="N47" s="7" t="inlineStr">
        <is>
          <t>Bachelor’s degree; minimum 3 years of relevant professional experience in peace/conflict resolution; exceptional leadership record.</t>
        </is>
      </c>
      <c r="O47" s="7" t="inlineStr">
        <is>
          <t>Very High: Detailed Peace Fellowship Application + Professional Recommendations + Essays</t>
        </is>
      </c>
      <c r="P47" s="7" t="inlineStr">
        <is>
          <t>Mid-Career Peacebuilding &amp; International Relations Professionals</t>
        </is>
      </c>
      <c r="Q47" s="7" t="n"/>
      <c r="R47" s="7" t="n"/>
      <c r="S47" s="7" t="n"/>
      <c r="T47" s="7" t="n"/>
      <c r="U47" s="7" t="n"/>
      <c r="V47" s="7" t="n"/>
      <c r="W47" s="7" t="n"/>
      <c r="X47" s="7" t="n"/>
      <c r="Y47" s="7" t="n"/>
      <c r="Z47" s="7" t="inlineStr">
        <is>
          <t>Work experience</t>
        </is>
      </c>
      <c r="AA47" s="4" t="n"/>
      <c r="AB47" s="4" t="n"/>
      <c r="AC47" s="7">
        <f>IF(AND(E47&lt;&gt;"",COUNTIF($E$2:$E$800,E47)&gt;1),"DUPLICATE","")</f>
        <v/>
      </c>
    </row>
    <row r="48" ht="57.6" customHeight="1" s="6">
      <c r="A48" s="7" t="inlineStr">
        <is>
          <t>hubert-h-humphrey-fellowship-program-master</t>
        </is>
      </c>
      <c r="B48" s="7" t="inlineStr">
        <is>
          <t>Open</t>
        </is>
      </c>
      <c r="C48" s="7" t="n"/>
      <c r="D48" s="7" t="inlineStr">
        <is>
          <t>Scholarship</t>
        </is>
      </c>
      <c r="E48" s="7" t="inlineStr">
        <is>
          <t>Hubert H. Humphrey Fellowship Program</t>
        </is>
      </c>
      <c r="F48" s="7" t="inlineStr">
        <is>
          <t>US Department of State</t>
        </is>
      </c>
      <c r="G48" s="7" t="inlineStr">
        <is>
          <t>North America</t>
        </is>
      </c>
      <c r="H48" s="7" t="inlineStr">
        <is>
          <t>United States</t>
        </is>
      </c>
      <c r="I48" s="7" t="inlineStr">
        <is>
          <t>Master</t>
        </is>
      </c>
      <c r="J48" s="7" t="inlineStr">
        <is>
          <t>Law, Governance &amp; Public Policy, Architecture, Arts &amp; Design</t>
        </is>
      </c>
      <c r="K48" s="7" t="inlineStr">
        <is>
          <t>Full</t>
        </is>
      </c>
      <c r="L48" s="7" t="inlineStr">
        <is>
          <t>Professional Fellowship Grant (Full tuition, maintenance allowance, airfare, professional development funds)</t>
        </is>
      </c>
      <c r="M48" s="7" t="inlineStr">
        <is>
          <t>Staggered (Country-specific windows)</t>
        </is>
      </c>
      <c r="N48" s="7" t="inlineStr">
        <is>
          <t>Experienced professionals from designated countries; minimum 5 years of substantial professional experience in public service or policy.</t>
        </is>
      </c>
      <c r="O48" s="7" t="inlineStr">
        <is>
          <t>High: Comprehensive Professional Application + Employer Endorsement + English Language Proficiency</t>
        </is>
      </c>
      <c r="P48" s="7" t="inlineStr">
        <is>
          <t>Mid-Career Public Service Leaders Seeking US Professional Enrichment</t>
        </is>
      </c>
      <c r="Q48" s="7" t="n"/>
      <c r="R48" s="7" t="n"/>
      <c r="S48" s="7" t="n"/>
      <c r="T48" s="7" t="n"/>
      <c r="U48" s="7" t="n"/>
      <c r="V48" s="7" t="n"/>
      <c r="W48" s="7" t="n"/>
      <c r="X48" s="7" t="n"/>
      <c r="Y48" s="7" t="n"/>
      <c r="Z48" s="7" t="inlineStr">
        <is>
          <t>Work experience</t>
        </is>
      </c>
      <c r="AA48" s="4" t="n"/>
      <c r="AB48" s="4" t="n"/>
      <c r="AC48" s="7">
        <f>IF(AND(E48&lt;&gt;"",COUNTIF($E$2:$E$800,E48)&gt;1),"DUPLICATE","")</f>
        <v/>
      </c>
    </row>
    <row r="49" ht="57.6" customHeight="1" s="6">
      <c r="A49" s="7" t="inlineStr">
        <is>
          <t>mcgill-university-master-s-funding-graduate-excellence-fello</t>
        </is>
      </c>
      <c r="B49" s="7" t="inlineStr">
        <is>
          <t>Open</t>
        </is>
      </c>
      <c r="C49" s="7" t="n"/>
      <c r="D49" s="7" t="inlineStr">
        <is>
          <t>Scholarship</t>
        </is>
      </c>
      <c r="E49" s="7" t="inlineStr">
        <is>
          <t>McGill University Master’s Funding &amp; Graduate Excellence Fellowships</t>
        </is>
      </c>
      <c r="F49" s="7" t="inlineStr">
        <is>
          <t>McGill University — Canada</t>
        </is>
      </c>
      <c r="G49" s="7" t="inlineStr">
        <is>
          <t>North America</t>
        </is>
      </c>
      <c r="H49" s="7" t="inlineStr">
        <is>
          <t>Canada</t>
        </is>
      </c>
      <c r="I49" s="7" t="inlineStr">
        <is>
          <t>Master</t>
        </is>
      </c>
      <c r="J49" s="7" t="inlineStr">
        <is>
          <t>Engineering &amp; Technology, Mathematics &amp; Natural Sciences, Architecture, Arts &amp; Design</t>
        </is>
      </c>
      <c r="K49" s="7" t="inlineStr">
        <is>
          <t>Full</t>
        </is>
      </c>
      <c r="L49" s="7" t="inlineStr">
        <is>
          <t>Partial to Full Funding Support (Stipends and tuition supplements ranging from $5,000 to full funding)</t>
        </is>
      </c>
      <c r="M49" s="7" t="inlineStr">
        <is>
          <t>January 15 (Varies by department)</t>
        </is>
      </c>
      <c r="N49" s="7" t="inlineStr">
        <is>
          <t>International Master’s applicants admitted to thesis-based graduate programs in science, engineering, or arts.</t>
        </is>
      </c>
      <c r="O49" s="7" t="inlineStr">
        <is>
          <t>Medium: Departmental Graduate Admission Application (automatically considered for fellowships)</t>
        </is>
      </c>
      <c r="P49" s="7" t="inlineStr">
        <is>
          <t>Thesis-Based Master's Applicants to Canadian Research Universities</t>
        </is>
      </c>
      <c r="Q49" s="7" t="n"/>
      <c r="R49" s="7" t="n"/>
      <c r="S49" s="7" t="n"/>
      <c r="T49" s="7" t="n"/>
      <c r="U49" s="7" t="n"/>
      <c r="V49" s="7" t="n"/>
      <c r="W49" s="7" t="n"/>
      <c r="X49" s="7" t="n"/>
      <c r="Y49" s="7" t="n"/>
      <c r="Z49" s="7" t="inlineStr">
        <is>
          <t>STEM</t>
        </is>
      </c>
      <c r="AA49" s="4" t="n"/>
      <c r="AB49" s="4" t="n"/>
      <c r="AC49" s="7">
        <f>IF(AND(E49&lt;&gt;"",COUNTIF($E$2:$E$800,E49)&gt;1),"DUPLICATE","")</f>
        <v/>
      </c>
    </row>
    <row r="50" ht="115.2" customHeight="1" s="6">
      <c r="A50" s="7" t="inlineStr">
        <is>
          <t>vanier-canada-graduate-scholarships-phd</t>
        </is>
      </c>
      <c r="B50" s="7" t="inlineStr">
        <is>
          <t>Open</t>
        </is>
      </c>
      <c r="C50" s="7" t="n"/>
      <c r="D50" s="7" t="inlineStr">
        <is>
          <t>Scholarship</t>
        </is>
      </c>
      <c r="E50" s="7" t="inlineStr">
        <is>
          <t>Vanier Canada Graduate Scholarships</t>
        </is>
      </c>
      <c r="F50" s="7" t="inlineStr">
        <is>
          <t>Government of Canada / CIHR, NSERC, SSHRC</t>
        </is>
      </c>
      <c r="G50" s="7" t="inlineStr">
        <is>
          <t>North America</t>
        </is>
      </c>
      <c r="H50" s="7" t="inlineStr">
        <is>
          <t>Canada</t>
        </is>
      </c>
      <c r="I50" s="7" t="inlineStr">
        <is>
          <t>PhD</t>
        </is>
      </c>
      <c r="J50" s="7" t="inlineStr">
        <is>
          <t>All fields</t>
        </is>
      </c>
      <c r="K50" s="7" t="inlineStr">
        <is>
          <t>Stipend</t>
        </is>
      </c>
      <c r="L50" s="7" t="inlineStr">
        <is>
          <t>CA$50,000 per year (For 3 years of doctoral studies at participating Canadian universities)</t>
        </is>
      </c>
      <c r="M50" s="7" t="inlineStr">
        <is>
          <t>November (Nomination by university)</t>
        </is>
      </c>
      <c r="N50" s="7" t="inlineStr">
        <is>
          <t>World-class doctoral students (Canadian and international); nominated by a Canadian university; leadership and research excellence.</t>
        </is>
      </c>
      <c r="O50" s="7" t="inlineStr">
        <is>
          <t>Very High: Institutional Nomination + Research Proposal + Leadership Statements + Transcripts</t>
        </is>
      </c>
      <c r="P50" s="7" t="inlineStr">
        <is>
          <t>World-Class Doctoral Researchers Applying to Canadian Universities</t>
        </is>
      </c>
      <c r="Q50" s="7" t="inlineStr">
        <is>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is>
      </c>
      <c r="R50" s="7" t="inlineStr">
        <is>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is>
      </c>
      <c r="S50" s="7" t="inlineStr">
        <is>
          <t>Academic Excellence (33.3%), Research Potential (33.3%), Leadership Characteristics (33.3%).</t>
        </is>
      </c>
      <c r="T50" s="7" t="inlineStr">
        <is>
          <t>Exceptional doctoral researchers with published papers, conference presentations, and extensive leadership or mentoring track records.</t>
        </is>
      </c>
      <c r="U50" s="7" t="n"/>
      <c r="V50" s="7" t="inlineStr">
        <is>
          <t>https://www.vanier.gc.ca/en/home-accueil.html</t>
        </is>
      </c>
      <c r="W50" s="7" t="n"/>
      <c r="X50" s="7" t="n"/>
      <c r="Y50" s="7" t="n"/>
      <c r="Z50" s="7" t="inlineStr">
        <is>
          <t>Research</t>
        </is>
      </c>
      <c r="AA50" s="4" t="n"/>
      <c r="AB50" s="4" t="n"/>
      <c r="AC50" s="7">
        <f>IF(AND(E50&lt;&gt;"",COUNTIF($E$2:$E$800,E50)&gt;1),"DUPLICATE","")</f>
        <v/>
      </c>
    </row>
    <row r="51" ht="57.6" customHeight="1" s="6">
      <c r="A51" s="7" t="inlineStr">
        <is>
          <t>nsf-graduate-research-fellowship-program-grfp-phd</t>
        </is>
      </c>
      <c r="B51" s="7" t="inlineStr">
        <is>
          <t>Open</t>
        </is>
      </c>
      <c r="C51" s="7" t="n"/>
      <c r="D51" s="7" t="inlineStr">
        <is>
          <t>Scholarship</t>
        </is>
      </c>
      <c r="E51" s="7" t="inlineStr">
        <is>
          <t>NSF Graduate Research Fellowship Program (GRFP)</t>
        </is>
      </c>
      <c r="F51" s="7" t="inlineStr">
        <is>
          <t>National Science Foundation — USA</t>
        </is>
      </c>
      <c r="G51" s="7" t="inlineStr">
        <is>
          <t>North America</t>
        </is>
      </c>
      <c r="H51" s="7" t="inlineStr">
        <is>
          <t>United States</t>
        </is>
      </c>
      <c r="I51" s="7" t="inlineStr">
        <is>
          <t>PhD</t>
        </is>
      </c>
      <c r="J51" s="7" t="inlineStr">
        <is>
          <t>Mathematics &amp; Natural Sciences</t>
        </is>
      </c>
      <c r="K51" s="7" t="inlineStr">
        <is>
          <t>Stipend</t>
        </is>
      </c>
      <c r="L51" s="7" t="inlineStr">
        <is>
          <t>US$37,000 annual stipend + $16,000 cost of education allowance for 3 years</t>
        </is>
      </c>
      <c r="M51" s="7" t="inlineStr">
        <is>
          <t>October (Staggered by STEM discipline)</t>
        </is>
      </c>
      <c r="N51" s="7" t="inlineStr">
        <is>
          <t>US citizens, nationals, or permanent residents pursuing research-based Master's or PhD degrees in STEM fields.</t>
        </is>
      </c>
      <c r="O51" s="7" t="inlineStr">
        <is>
          <t>Very High: Graduate Research Plan Statement + Relevant Background Statement + Reference Letters</t>
        </is>
      </c>
      <c r="P51" s="7" t="inlineStr">
        <is>
          <t>US Citizens/PRs Pursuing STEM Doctorates</t>
        </is>
      </c>
      <c r="Q51" s="7" t="n"/>
      <c r="R51" s="7" t="n"/>
      <c r="S51" s="7" t="n"/>
      <c r="T51" s="7" t="n"/>
      <c r="U51" s="7" t="n"/>
      <c r="V51" s="7" t="n"/>
      <c r="W51" s="7" t="n"/>
      <c r="X51" s="7" t="n"/>
      <c r="Y51" s="7" t="n"/>
      <c r="Z51" s="7" t="inlineStr">
        <is>
          <t>STEM, Research</t>
        </is>
      </c>
      <c r="AA51" s="4" t="n"/>
      <c r="AB51" s="4" t="n"/>
      <c r="AC51" s="7">
        <f>IF(AND(E51&lt;&gt;"",COUNTIF($E$2:$E$800,E51)&gt;1),"DUPLICATE","")</f>
        <v/>
      </c>
    </row>
    <row r="52" ht="57.6" customHeight="1" s="6">
      <c r="A52" s="7" t="inlineStr">
        <is>
          <t>ivy-league-r1-university-fully-funded-phd-assistantships-phd</t>
        </is>
      </c>
      <c r="B52" s="7" t="inlineStr">
        <is>
          <t>Open</t>
        </is>
      </c>
      <c r="C52" s="7" t="n"/>
      <c r="D52" s="7" t="inlineStr">
        <is>
          <t>Scholarship</t>
        </is>
      </c>
      <c r="E52" s="7" t="inlineStr">
        <is>
          <t>Ivy League &amp; R1 University Fully Funded PhD Assistantships</t>
        </is>
      </c>
      <c r="F52" s="7" t="inlineStr">
        <is>
          <t>Harvard, MIT, Stanford, UC Berkeley, etc.</t>
        </is>
      </c>
      <c r="G52" s="7" t="inlineStr">
        <is>
          <t>North America</t>
        </is>
      </c>
      <c r="H52" s="7" t="inlineStr">
        <is>
          <t>United States</t>
        </is>
      </c>
      <c r="I52" s="7" t="inlineStr">
        <is>
          <t>PhD</t>
        </is>
      </c>
      <c r="J52" s="7" t="inlineStr">
        <is>
          <t>All fields</t>
        </is>
      </c>
      <c r="K52" s="7" t="inlineStr">
        <is>
          <t>Full</t>
        </is>
      </c>
      <c r="L52" s="7" t="inlineStr">
        <is>
          <t>Full Ride + RA/TA Stipend (100% Tuition waiver, health insurance, and living stipend via Teaching/Research Assistantships)</t>
        </is>
      </c>
      <c r="M52" s="7" t="inlineStr">
        <is>
          <t>December – January (Varies by university)</t>
        </is>
      </c>
      <c r="N52" s="7" t="inlineStr">
        <is>
          <t>Bachelor’s or Master’s degree holders with outstanding academic records and intensive undergraduate research experience.</t>
        </is>
      </c>
      <c r="O52" s="7" t="inlineStr">
        <is>
          <t>Very High: SOP + Writing Sample + GRE (where required) + 3 Professor Recommendation Letters</t>
        </is>
      </c>
      <c r="P52" s="7" t="inlineStr">
        <is>
          <t>Elite Academic Researchers Targeting North American R1 Doctoral Programs</t>
        </is>
      </c>
      <c r="Q52" s="7" t="n"/>
      <c r="R52" s="7" t="n"/>
      <c r="S52" s="7" t="n"/>
      <c r="T52" s="7" t="n"/>
      <c r="U52" s="7" t="n"/>
      <c r="V52" s="7" t="n"/>
      <c r="W52" s="7" t="n"/>
      <c r="X52" s="7" t="n"/>
      <c r="Y52" s="7" t="n"/>
      <c r="Z52" s="7" t="inlineStr">
        <is>
          <t>Research</t>
        </is>
      </c>
      <c r="AA52" s="4" t="n"/>
      <c r="AB52" s="4" t="n"/>
      <c r="AC52" s="7">
        <f>IF(AND(E52&lt;&gt;"",COUNTIF($E$2:$E$800,E52)&gt;1),"DUPLICATE","")</f>
        <v/>
      </c>
    </row>
    <row r="53" ht="72" customHeight="1" s="6">
      <c r="A53" s="7" t="inlineStr">
        <is>
          <t>earth-university-mastercard-foundation-scholarship-bachelor</t>
        </is>
      </c>
      <c r="B53" s="7" t="inlineStr">
        <is>
          <t>Open</t>
        </is>
      </c>
      <c r="C53" s="7" t="n"/>
      <c r="D53" s="7" t="inlineStr">
        <is>
          <t>Scholarship</t>
        </is>
      </c>
      <c r="E53" s="7" t="inlineStr">
        <is>
          <t>EARTH University Mastercard Foundation Scholarship</t>
        </is>
      </c>
      <c r="F53" s="7" t="inlineStr">
        <is>
          <t>Costa Rica / Mastercard Foundation</t>
        </is>
      </c>
      <c r="G53" s="7" t="inlineStr">
        <is>
          <t>Latin America &amp; Caribbean</t>
        </is>
      </c>
      <c r="H53" s="7" t="inlineStr">
        <is>
          <t>Costa Rica</t>
        </is>
      </c>
      <c r="I53" s="7" t="inlineStr">
        <is>
          <t>Bachelor</t>
        </is>
      </c>
      <c r="J53" s="7" t="inlineStr">
        <is>
          <t>Agriculture &amp; Food Security, Environment, Water &amp; Energy</t>
        </is>
      </c>
      <c r="K53" s="7" t="inlineStr">
        <is>
          <t>Full</t>
        </is>
      </c>
      <c r="L53" s="7" t="inlineStr">
        <is>
          <t>Full Ride (Full Tuition, On-Campus Housing, Meals, Living Stipend, Airfare, Laptop)</t>
        </is>
      </c>
      <c r="M53" s="7" t="inlineStr">
        <is>
          <t>January (Annual cycle for regional recruitment)</t>
        </is>
      </c>
      <c r="N53" s="7" t="inlineStr">
        <is>
          <t>Citizens of Latin America, the Caribbean, and select African countries; high school graduates with demonstrated financial need and commitment to agricultural sustainability/leadership.</t>
        </is>
      </c>
      <c r="O53" s="7" t="inlineStr">
        <is>
          <t>High: Comprehensive Application + Financial Need Assessment + Interviews &amp; Leadership Exercises</t>
        </is>
      </c>
      <c r="P53" s="7" t="inlineStr">
        <is>
          <t>Low-Income Rural Youth Dedicated to Agriculture and Sustainability</t>
        </is>
      </c>
      <c r="Q53" s="7" t="n"/>
      <c r="R53" s="7" t="n"/>
      <c r="S53" s="7" t="n"/>
      <c r="T53" s="7" t="n"/>
      <c r="U53" s="7" t="n"/>
      <c r="V53" s="7" t="n"/>
      <c r="W53" s="7" t="n"/>
      <c r="X53" s="7" t="n"/>
      <c r="Y53" s="7" t="n"/>
      <c r="Z53" s="7" t="inlineStr">
        <is>
          <t>Need-based</t>
        </is>
      </c>
      <c r="AA53" s="4" t="n"/>
      <c r="AB53" s="4" t="n"/>
      <c r="AC53" s="7">
        <f>IF(AND(E53&lt;&gt;"",COUNTIF($E$2:$E$800,E53)&gt;1),"DUPLICATE","")</f>
        <v/>
      </c>
    </row>
    <row r="54" ht="57.6" customHeight="1" s="6">
      <c r="A54" s="7" t="inlineStr">
        <is>
          <t>amexcid-mexican-government-scholarship-for-foreigners-bachel</t>
        </is>
      </c>
      <c r="B54" s="7" t="inlineStr">
        <is>
          <t>Open</t>
        </is>
      </c>
      <c r="C54" s="7" t="n"/>
      <c r="D54" s="7" t="inlineStr">
        <is>
          <t>Scholarship</t>
        </is>
      </c>
      <c r="E54" s="7" t="inlineStr">
        <is>
          <t>AMEXCID Mexican Government Scholarship for Foreigners</t>
        </is>
      </c>
      <c r="F54" s="7" t="inlineStr">
        <is>
          <t>Government of Mexico — SRE</t>
        </is>
      </c>
      <c r="G54" s="7" t="inlineStr">
        <is>
          <t>Latin America &amp; Caribbean</t>
        </is>
      </c>
      <c r="H54" s="7" t="inlineStr">
        <is>
          <t>Mexico</t>
        </is>
      </c>
      <c r="I54" s="7" t="inlineStr">
        <is>
          <t>Bachelor</t>
        </is>
      </c>
      <c r="J54" s="7" t="inlineStr">
        <is>
          <t>All fields</t>
        </is>
      </c>
      <c r="K54" s="7" t="inlineStr">
        <is>
          <t>Full</t>
        </is>
      </c>
      <c r="L54" s="7" t="inlineStr">
        <is>
          <t>Full Support (Monthly living stipend of ~4–5 times the daily minimum wage in Mexico + full tuition waiver + medical insurance)</t>
        </is>
      </c>
      <c r="M54" s="7" t="inlineStr">
        <is>
          <t>July – September (Varies by annual call)</t>
        </is>
      </c>
      <c r="N54" s="7" t="inlineStr">
        <is>
          <t>Bachelor’s degree holders or undergraduate exchange students from over 180 participating countries; intermediate Spanish proficiency.</t>
        </is>
      </c>
      <c r="O54" s="7" t="inlineStr">
        <is>
          <t>High: SRE Online Academic Portal + Certified Transcripts + Institutional Acceptance Letter in Mexico</t>
        </is>
      </c>
      <c r="P54" s="7" t="inlineStr">
        <is>
          <t>Students Seeking Undergraduate Exchange or Graduate Study in Mexico</t>
        </is>
      </c>
      <c r="Q54" s="7" t="n"/>
      <c r="R54" s="7" t="n"/>
      <c r="S54" s="7" t="n"/>
      <c r="T54" s="7" t="n"/>
      <c r="U54" s="7" t="n"/>
      <c r="V54" s="7" t="n"/>
      <c r="W54" s="7" t="n"/>
      <c r="X54" s="7" t="n"/>
      <c r="Y54" s="7" t="n"/>
      <c r="Z54" s="7" t="n"/>
      <c r="AA54" s="4" t="n"/>
      <c r="AB54" s="4" t="n"/>
      <c r="AC54" s="7">
        <f>IF(AND(E54&lt;&gt;"",COUNTIF($E$2:$E$800,E54)&gt;1),"DUPLICATE","")</f>
        <v/>
      </c>
    </row>
    <row r="55" ht="57.6" customHeight="1" s="6">
      <c r="A55" s="7" t="inlineStr">
        <is>
          <t>universidad-de-costa-rica-socioeconomic-grants-bachelor</t>
        </is>
      </c>
      <c r="B55" s="7" t="inlineStr">
        <is>
          <t>Open</t>
        </is>
      </c>
      <c r="C55" s="7" t="n"/>
      <c r="D55" s="7" t="inlineStr">
        <is>
          <t>Scholarship</t>
        </is>
      </c>
      <c r="E55" s="7" t="inlineStr">
        <is>
          <t>Universidad de Costa Rica Socioeconomic Grants</t>
        </is>
      </c>
      <c r="F55" s="7" t="inlineStr">
        <is>
          <t>UCR — Costa Rica</t>
        </is>
      </c>
      <c r="G55" s="7" t="inlineStr">
        <is>
          <t>Latin America &amp; Caribbean</t>
        </is>
      </c>
      <c r="H55" s="7" t="inlineStr">
        <is>
          <t>Costa Rica</t>
        </is>
      </c>
      <c r="I55" s="7" t="inlineStr">
        <is>
          <t>Bachelor</t>
        </is>
      </c>
      <c r="J55" s="7" t="inlineStr">
        <is>
          <t>All fields</t>
        </is>
      </c>
      <c r="K55" s="7" t="inlineStr">
        <is>
          <t>Full</t>
        </is>
      </c>
      <c r="L55" s="7" t="inlineStr">
        <is>
          <t>Partial to Full Tuition &amp; Living Support (Based on sliding scale socioeconomic assessment)</t>
        </is>
      </c>
      <c r="M55" s="7" t="inlineStr">
        <is>
          <t>Rolling / Semester Deadlines</t>
        </is>
      </c>
      <c r="N55" s="7" t="inlineStr">
        <is>
          <t>Local and international undergraduate students enrolled at UCR demonstrating limited financial resources and strong academic standing.</t>
        </is>
      </c>
      <c r="O55" s="7" t="inlineStr">
        <is>
          <t>Medium: University Admission + Socioeconomic Evaluation Documentation</t>
        </is>
      </c>
      <c r="P55" s="7" t="inlineStr">
        <is>
          <t>Students Seeking Affordable or Subsidized Higher Ed in Central America</t>
        </is>
      </c>
      <c r="Q55" s="7" t="n"/>
      <c r="R55" s="7" t="n"/>
      <c r="S55" s="7" t="n"/>
      <c r="T55" s="7" t="n"/>
      <c r="U55" s="7" t="n"/>
      <c r="V55" s="7" t="n"/>
      <c r="W55" s="7" t="n"/>
      <c r="X55" s="7" t="n"/>
      <c r="Y55" s="7" t="n"/>
      <c r="Z55" s="7" t="inlineStr">
        <is>
          <t>Need-based</t>
        </is>
      </c>
      <c r="AA55" s="4" t="n"/>
      <c r="AB55" s="4" t="n"/>
      <c r="AC55" s="7">
        <f>IF(AND(E55&lt;&gt;"",COUNTIF($E$2:$E$800,E55)&gt;1),"DUPLICATE","")</f>
        <v/>
      </c>
    </row>
    <row r="56" ht="144" customHeight="1" s="6">
      <c r="A56" s="7" t="inlineStr">
        <is>
          <t>oas-academic-scholarship-program-paec-regular-program-master</t>
        </is>
      </c>
      <c r="B56" s="7" t="inlineStr">
        <is>
          <t>Open</t>
        </is>
      </c>
      <c r="C56" s="7" t="n"/>
      <c r="D56" s="7" t="inlineStr">
        <is>
          <t>Scholarship</t>
        </is>
      </c>
      <c r="E56" s="7" t="inlineStr">
        <is>
          <t>OAS Academic Scholarship Program (PAEC / Regular Program)</t>
        </is>
      </c>
      <c r="F56" s="7" t="inlineStr">
        <is>
          <t>Organization of American States</t>
        </is>
      </c>
      <c r="G56" s="7" t="inlineStr">
        <is>
          <t>Latin America &amp; Caribbean</t>
        </is>
      </c>
      <c r="H56" s="7" t="n"/>
      <c r="I56" s="7" t="inlineStr">
        <is>
          <t>Master</t>
        </is>
      </c>
      <c r="J56" s="7" t="inlineStr">
        <is>
          <t>All fields</t>
        </is>
      </c>
      <c r="K56" s="7" t="inlineStr">
        <is>
          <t>Partial</t>
        </is>
      </c>
      <c r="L56" s="7" t="inlineStr">
        <is>
          <t>Complementary Grant (Up to USD $10,000 per academic year covering tuition, health insurance, and partial subsistence allowance)</t>
        </is>
      </c>
      <c r="M56" s="7" t="inlineStr">
        <is>
          <t>April – June (Varies by partner university network call)</t>
        </is>
      </c>
      <c r="N56" s="7" t="inlineStr">
        <is>
          <t>Citizen or permanent resident of an OAS Member State; holds a first Bachelor's degree; admission to an eligible university in an OAS country.</t>
        </is>
      </c>
      <c r="O56" s="7" t="inlineStr">
        <is>
          <t>High: OAS Online Application Form + 2 Recommendation Letters + University Admission Letter</t>
        </is>
      </c>
      <c r="P56" s="7" t="inlineStr">
        <is>
          <t>Citizens of OAS Member States Seeking Hemispheric Graduate Study</t>
        </is>
      </c>
      <c r="Q56" s="7" t="inlineStr">
        <is>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is>
      </c>
      <c r="R56" s="7" t="inlineStr">
        <is>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is>
      </c>
      <c r="S56" s="7" t="inlineStr">
        <is>
          <t>Academic merit and GPA (30%), Potential impact of the study program on the applicant's home country (30%), Financial need and completeness of documentation (25%), Geographic distribution across OAS member states (15%).</t>
        </is>
      </c>
      <c r="T56" s="7" t="inlineStr">
        <is>
          <t>Dedicated public administrators, environmental scientists, and educators from Latin America and the Caribbean who secure university admission independently and leverage OAS complementary funding to complete degrees in the US, Brazil, Mexico, or Caribbean partner institutions.</t>
        </is>
      </c>
      <c r="U56" s="7" t="n"/>
      <c r="V56" s="7" t="inlineStr">
        <is>
          <t>http://www.oas.org/en/scholarships/</t>
        </is>
      </c>
      <c r="W56" s="7" t="n"/>
      <c r="X56" s="7" t="n"/>
      <c r="Y56" s="7" t="n"/>
      <c r="Z56" s="7" t="n"/>
      <c r="AA56" s="4" t="n"/>
      <c r="AB56" s="4" t="n"/>
      <c r="AC56" s="7">
        <f>IF(AND(E56&lt;&gt;"",COUNTIF($E$2:$E$800,E56)&gt;1),"DUPLICATE","")</f>
        <v/>
      </c>
    </row>
    <row r="57" ht="129.6" customHeight="1" s="6">
      <c r="A57" s="7" t="inlineStr">
        <is>
          <t>gcub-brazil-international-master-s-phd-scholarship-programme</t>
        </is>
      </c>
      <c r="B57" s="7" t="inlineStr">
        <is>
          <t>Open</t>
        </is>
      </c>
      <c r="C57" s="7" t="n"/>
      <c r="D57" s="7" t="inlineStr">
        <is>
          <t>Scholarship</t>
        </is>
      </c>
      <c r="E57" s="7" t="inlineStr">
        <is>
          <t>GCUB-Brazil International Master’s &amp; PhD Scholarship Programme</t>
        </is>
      </c>
      <c r="F57" s="7" t="inlineStr">
        <is>
          <t>Brazil — GCUB</t>
        </is>
      </c>
      <c r="G57" s="7" t="inlineStr">
        <is>
          <t>Latin America &amp; Caribbean</t>
        </is>
      </c>
      <c r="H57" s="7" t="inlineStr">
        <is>
          <t>Brazil</t>
        </is>
      </c>
      <c r="I57" s="7" t="inlineStr">
        <is>
          <t>Master</t>
        </is>
      </c>
      <c r="J57" s="7" t="inlineStr">
        <is>
          <t>All fields</t>
        </is>
      </c>
      <c r="K57" s="7" t="inlineStr">
        <is>
          <t>Full</t>
        </is>
      </c>
      <c r="L57" s="7" t="inlineStr">
        <is>
          <t>Full Tuition Waiver + Monthly Living Stipend (Provided by Brazilian federal/state universities during the course duration)</t>
        </is>
      </c>
      <c r="M57" s="7" t="inlineStr">
        <is>
          <t>July (Annual call across 60+ Brazilian universities)</t>
        </is>
      </c>
      <c r="N57" s="7" t="inlineStr">
        <is>
          <t>International students holding an undergraduate degree; willingness to study in Portuguese (includes introductory language tracks in select host universities).</t>
        </is>
      </c>
      <c r="O57" s="7" t="inlineStr">
        <is>
          <t>High: Unified GCUB Online Application Form + CV + Academic Statement of Purpose</t>
        </is>
      </c>
      <c r="P57" s="7" t="inlineStr">
        <is>
          <t>International Graduates Open to Postgraduate Study in Brazil</t>
        </is>
      </c>
      <c r="Q57" s="7" t="inlineStr">
        <is>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is>
      </c>
      <c r="R57" s="7" t="inlineStr">
        <is>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is>
      </c>
      <c r="S57" s="7" t="inlineStr">
        <is>
          <t>Academic record and GPA strength (40%), Alignment of research goals with Brazilian graduate programs (40%), Completeness and presentation of documentation (20%).</t>
        </is>
      </c>
      <c r="T57" s="7" t="inlineStr">
        <is>
          <t>Highly motivated international researchers who embrace linguistic adaptation (Portuguese immersion) and tap into Brazil’s robust agricultural, public health, and engineering laboratory networks.</t>
        </is>
      </c>
      <c r="U57" s="7" t="n"/>
      <c r="V57" s="7" t="inlineStr">
        <is>
          <t>http://www.gcub.org.br/</t>
        </is>
      </c>
      <c r="W57" s="7" t="n"/>
      <c r="X57" s="7" t="n"/>
      <c r="Y57" s="7" t="n"/>
      <c r="Z57" s="7" t="n"/>
      <c r="AA57" s="4" t="n"/>
      <c r="AB57" s="4" t="n"/>
      <c r="AC57" s="7">
        <f>IF(AND(E57&lt;&gt;"",COUNTIF($E$2:$E$800,E57)&gt;1),"DUPLICATE","")</f>
        <v/>
      </c>
    </row>
    <row r="58" ht="57.6" customHeight="1" s="6">
      <c r="A58" s="7" t="inlineStr">
        <is>
          <t>becas-chile-anid-postgraduate-scholarships-master</t>
        </is>
      </c>
      <c r="B58" s="7" t="inlineStr">
        <is>
          <t>Open</t>
        </is>
      </c>
      <c r="C58" s="7" t="n"/>
      <c r="D58" s="7" t="inlineStr">
        <is>
          <t>Scholarship</t>
        </is>
      </c>
      <c r="E58" s="7" t="inlineStr">
        <is>
          <t>Becas Chile (ANID Postgraduate Scholarships)</t>
        </is>
      </c>
      <c r="F58" s="7" t="inlineStr">
        <is>
          <t>Government of Chile</t>
        </is>
      </c>
      <c r="G58" s="7" t="inlineStr">
        <is>
          <t>Latin America &amp; Caribbean</t>
        </is>
      </c>
      <c r="H58" s="7" t="inlineStr">
        <is>
          <t>Chile</t>
        </is>
      </c>
      <c r="I58" s="7" t="inlineStr">
        <is>
          <t>Master</t>
        </is>
      </c>
      <c r="J58" s="7" t="inlineStr">
        <is>
          <t>All fields</t>
        </is>
      </c>
      <c r="K58" s="7" t="inlineStr">
        <is>
          <t>Full</t>
        </is>
      </c>
      <c r="L58" s="7" t="inlineStr">
        <is>
          <t>Full Funding Support (Tuition fees, maintenance allowance, return airfare, health insurance for Master's/PhD)</t>
        </is>
      </c>
      <c r="M58" s="7" t="inlineStr">
        <is>
          <t>Staggered (Annual calls handled via ANID portals)</t>
        </is>
      </c>
      <c r="N58" s="7" t="inlineStr">
        <is>
          <t>Open to national and international candidates meeting residency/academic criteria for postgraduate study at accredited Chilean universities.</t>
        </is>
      </c>
      <c r="O58" s="7" t="inlineStr">
        <is>
          <t>High: Online ANID Portal Application + Academic Transcripts + Detailed Research/Study Program</t>
        </is>
      </c>
      <c r="P58" s="7" t="inlineStr">
        <is>
          <t>Researchers Targeting Advanced Study in South America</t>
        </is>
      </c>
      <c r="Q58" s="7" t="n"/>
      <c r="R58" s="7" t="n"/>
      <c r="S58" s="7" t="n"/>
      <c r="T58" s="7" t="n"/>
      <c r="U58" s="7" t="n"/>
      <c r="V58" s="7" t="n"/>
      <c r="W58" s="7" t="n"/>
      <c r="X58" s="7" t="n"/>
      <c r="Y58" s="7" t="n"/>
      <c r="Z58" s="7" t="n"/>
      <c r="AA58" s="4" t="n"/>
      <c r="AB58" s="4" t="n"/>
      <c r="AC58" s="7">
        <f>IF(AND(E58&lt;&gt;"",COUNTIF($E$2:$E$800,E58)&gt;1),"DUPLICATE","")</f>
        <v/>
      </c>
    </row>
    <row r="59" ht="43.2" customHeight="1" s="6">
      <c r="A59" s="7" t="inlineStr">
        <is>
          <t>the-rowe-fund-program-oas-master</t>
        </is>
      </c>
      <c r="B59" s="7" t="inlineStr">
        <is>
          <t>Open</t>
        </is>
      </c>
      <c r="C59" s="7" t="n"/>
      <c r="D59" s="7" t="inlineStr">
        <is>
          <t>Scholarship</t>
        </is>
      </c>
      <c r="E59" s="7" t="inlineStr">
        <is>
          <t>The Rowe Fund Program (OAS)</t>
        </is>
      </c>
      <c r="F59" s="7" t="inlineStr">
        <is>
          <t>Organization of American States</t>
        </is>
      </c>
      <c r="G59" s="7" t="inlineStr">
        <is>
          <t>Latin America &amp; Caribbean</t>
        </is>
      </c>
      <c r="H59" s="7" t="inlineStr">
        <is>
          <t>United States</t>
        </is>
      </c>
      <c r="I59" s="7" t="inlineStr">
        <is>
          <t>Master</t>
        </is>
      </c>
      <c r="J59" s="7" t="inlineStr">
        <is>
          <t>All fields</t>
        </is>
      </c>
      <c r="K59" s="7" t="inlineStr">
        <is>
          <t>Partial</t>
        </is>
      </c>
      <c r="L59" s="7" t="inlineStr">
        <is>
          <t>Interest-Free Loan + Supplemental Scholarship (Up to $15,000 interest-free loan + $2,000 grant)</t>
        </is>
      </c>
      <c r="M59" s="7" t="inlineStr">
        <is>
          <t>Rolling / Year-Round</t>
        </is>
      </c>
      <c r="N59" s="7" t="inlineStr">
        <is>
          <t>Nationals of Latin American and Caribbean OAS member states in the last two years of undergraduate or graduate studies in the USA.</t>
        </is>
      </c>
      <c r="O59" s="7" t="inlineStr">
        <is>
          <t>Medium: Loan Application + Guarantor Documentation + Proof of Enrollment</t>
        </is>
      </c>
      <c r="P59" s="7" t="inlineStr">
        <is>
          <t>Students Seeking Financial Gap-Bridging Loans for Study in the Americas</t>
        </is>
      </c>
      <c r="Q59" s="7" t="n"/>
      <c r="R59" s="7" t="n"/>
      <c r="S59" s="7" t="n"/>
      <c r="T59" s="7" t="n"/>
      <c r="U59" s="7" t="n"/>
      <c r="V59" s="7" t="n"/>
      <c r="W59" s="7" t="n"/>
      <c r="X59" s="7" t="n"/>
      <c r="Y59" s="7" t="n"/>
      <c r="Z59" s="7" t="n"/>
      <c r="AA59" s="4" t="n"/>
      <c r="AB59" s="4" t="n"/>
      <c r="AC59" s="7">
        <f>IF(AND(E59&lt;&gt;"",COUNTIF($E$2:$E$800,E59)&gt;1),"DUPLICATE","")</f>
        <v/>
      </c>
    </row>
    <row r="60" ht="72" customHeight="1" s="6">
      <c r="A60" s="7" t="inlineStr">
        <is>
          <t>twas-dbt-twas-cnpq-postgraduate-fellowship-programmes-phd</t>
        </is>
      </c>
      <c r="B60" s="7" t="inlineStr">
        <is>
          <t>Open</t>
        </is>
      </c>
      <c r="C60" s="7" t="n"/>
      <c r="D60" s="7" t="inlineStr">
        <is>
          <t>Scholarship</t>
        </is>
      </c>
      <c r="E60" s="7" t="inlineStr">
        <is>
          <t>TWAS-DBT / TWAS-CNPq Postgraduate Fellowship Programmes</t>
        </is>
      </c>
      <c r="F60" s="7" t="inlineStr">
        <is>
          <t>The World Academy of Sciences &amp; Brazil/India/China</t>
        </is>
      </c>
      <c r="G60" s="7" t="inlineStr">
        <is>
          <t>Latin America &amp; Caribbean</t>
        </is>
      </c>
      <c r="H60" s="7" t="inlineStr">
        <is>
          <t>China, Brazil</t>
        </is>
      </c>
      <c r="I60" s="7" t="inlineStr">
        <is>
          <t>PhD</t>
        </is>
      </c>
      <c r="J60" s="7" t="inlineStr">
        <is>
          <t>All fields</t>
        </is>
      </c>
      <c r="K60" s="7" t="inlineStr">
        <is>
          <t>Full</t>
        </is>
      </c>
      <c r="L60" s="7" t="inlineStr">
        <is>
          <t>Full Research Stipend (Living costs, food, and accommodation covered; bench fees and health insurance support)</t>
        </is>
      </c>
      <c r="M60" s="7" t="inlineStr">
        <is>
          <t>Staggered (Typically mid-year calls)</t>
        </is>
      </c>
      <c r="N60" s="7" t="inlineStr">
        <is>
          <t>Young scientists from developing countries (excluding the host country) holding a Master’s degree in a scientific field to conduct PhD research abroad.</t>
        </is>
      </c>
      <c r="O60" s="7" t="inlineStr">
        <is>
          <t>High: Acceptance Letter from Host Institution in Brazil/Global South + Research Proposal + References</t>
        </is>
      </c>
      <c r="P60" s="7" t="inlineStr">
        <is>
          <t>Developing-Country Scientists Seeking South-South Doctoral Research</t>
        </is>
      </c>
      <c r="Q60" s="7" t="n"/>
      <c r="R60" s="7" t="n"/>
      <c r="S60" s="7" t="n"/>
      <c r="T60" s="7" t="n"/>
      <c r="U60" s="7" t="n"/>
      <c r="V60" s="7" t="n"/>
      <c r="W60" s="7" t="n"/>
      <c r="X60" s="7" t="n"/>
      <c r="Y60" s="7" t="n"/>
      <c r="Z60" s="7" t="inlineStr">
        <is>
          <t>STEM, Research</t>
        </is>
      </c>
      <c r="AA60" s="4" t="n"/>
      <c r="AB60" s="4" t="n"/>
      <c r="AC60" s="7">
        <f>IF(AND(E60&lt;&gt;"",COUNTIF($E$2:$E$800,E60)&gt;1),"DUPLICATE","")</f>
        <v/>
      </c>
    </row>
    <row r="61" ht="129.6" customHeight="1" s="6">
      <c r="A61" s="7" t="inlineStr">
        <is>
          <t>gcub-brazil-doctoral-fellowship-track-phd</t>
        </is>
      </c>
      <c r="B61" s="7" t="inlineStr">
        <is>
          <t>Open</t>
        </is>
      </c>
      <c r="C61" s="7" t="n"/>
      <c r="D61" s="7" t="inlineStr">
        <is>
          <t>Scholarship</t>
        </is>
      </c>
      <c r="E61" s="7" t="inlineStr">
        <is>
          <t>GCUB-Brazil Doctoral Fellowship Track</t>
        </is>
      </c>
      <c r="F61" s="7" t="inlineStr">
        <is>
          <t>GCUB &amp; Brazilian Universities</t>
        </is>
      </c>
      <c r="G61" s="7" t="inlineStr">
        <is>
          <t>Latin America &amp; Caribbean</t>
        </is>
      </c>
      <c r="H61" s="7" t="inlineStr">
        <is>
          <t>Brazil</t>
        </is>
      </c>
      <c r="I61" s="7" t="inlineStr">
        <is>
          <t>PhD</t>
        </is>
      </c>
      <c r="J61" s="7" t="inlineStr">
        <is>
          <t>All fields</t>
        </is>
      </c>
      <c r="K61" s="7" t="inlineStr">
        <is>
          <t>Full</t>
        </is>
      </c>
      <c r="L61" s="7" t="inlineStr">
        <is>
          <t>Full Tuition Waiver + Monthly Stipend (Full doctoral funding for up to 48 months at top-tier Brazilian research universities)</t>
        </is>
      </c>
      <c r="M61" s="7" t="inlineStr">
        <is>
          <t>July (Annual unified call)</t>
        </is>
      </c>
      <c r="N61" s="7" t="inlineStr">
        <is>
          <t>Master’s degree holders from across the globe; research proposal aligned with Brazilian graduate program faculty lines.</t>
        </is>
      </c>
      <c r="O61" s="7" t="inlineStr">
        <is>
          <t>High: Unified Application Portal + Doctoral Research Project Outline + Academic CV</t>
        </is>
      </c>
      <c r="P61" s="7" t="inlineStr">
        <is>
          <t>Master's Graduates Ready for Long-Term Doctoral Research in Brazil</t>
        </is>
      </c>
      <c r="Q61" s="7" t="inlineStr">
        <is>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is>
      </c>
      <c r="R61" s="7" t="inlineStr">
        <is>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is>
      </c>
      <c r="S61" s="7" t="inlineStr">
        <is>
          <t>Academic record and GPA strength (40%), Alignment of research goals with Brazilian graduate programs (40%), Completeness and presentation of documentation (20%).</t>
        </is>
      </c>
      <c r="T61" s="7" t="inlineStr">
        <is>
          <t>Highly motivated international researchers who embrace linguistic adaptation (Portuguese immersion) and tap into Brazil’s robust agricultural, public health, and engineering laboratory networks.</t>
        </is>
      </c>
      <c r="U61" s="7" t="n"/>
      <c r="V61" s="7" t="inlineStr">
        <is>
          <t>http://www.gcub.org.br/</t>
        </is>
      </c>
      <c r="W61" s="7" t="n"/>
      <c r="X61" s="7" t="n"/>
      <c r="Y61" s="7" t="n"/>
      <c r="Z61" s="7" t="inlineStr">
        <is>
          <t>Research</t>
        </is>
      </c>
      <c r="AA61" s="4" t="n"/>
      <c r="AB61" s="4" t="n"/>
      <c r="AC61" s="7">
        <f>IF(AND(E61&lt;&gt;"",COUNTIF($E$2:$E$800,E61)&gt;1),"DUPLICATE","")</f>
        <v/>
      </c>
    </row>
    <row r="62" ht="43.2" customHeight="1" s="6">
      <c r="A62" s="7" t="inlineStr">
        <is>
          <t>fundaci-n-carolina-postgraduate-phd-fellowships-phd</t>
        </is>
      </c>
      <c r="B62" s="7" t="inlineStr">
        <is>
          <t>Open</t>
        </is>
      </c>
      <c r="C62" s="7" t="n"/>
      <c r="D62" s="7" t="inlineStr">
        <is>
          <t>Scholarship</t>
        </is>
      </c>
      <c r="E62" s="7" t="inlineStr">
        <is>
          <t>Fundación Carolina Postgraduate &amp; PhD Fellowships</t>
        </is>
      </c>
      <c r="F62" s="7" t="inlineStr">
        <is>
          <t>Spain &amp; Latin America</t>
        </is>
      </c>
      <c r="G62" s="7" t="inlineStr">
        <is>
          <t>Latin America &amp; Caribbean</t>
        </is>
      </c>
      <c r="H62" s="7" t="inlineStr">
        <is>
          <t>Spain</t>
        </is>
      </c>
      <c r="I62" s="7" t="inlineStr">
        <is>
          <t>PhD</t>
        </is>
      </c>
      <c r="J62" s="7" t="inlineStr">
        <is>
          <t>All fields</t>
        </is>
      </c>
      <c r="K62" s="7" t="inlineStr">
        <is>
          <t>Full</t>
        </is>
      </c>
      <c r="L62" s="7" t="inlineStr">
        <is>
          <t>Full Support (Airfare, tuition fee coverage, health insurance, and monthly stipend for doctoral/postdoctoral research)</t>
        </is>
      </c>
      <c r="M62" s="7" t="inlineStr">
        <is>
          <t>March (Annual call for Latin American scholars)</t>
        </is>
      </c>
      <c r="N62" s="7" t="inlineStr">
        <is>
          <t>Nationals of a Latin American country belonging to the Ibero-American Community of Nations; excellent academic record.</t>
        </is>
      </c>
      <c r="O62" s="7" t="inlineStr">
        <is>
          <t>High: Fundación Carolina Portal Application + Academic Transcripts + Letters of Recommendation</t>
        </is>
      </c>
      <c r="P62" s="7" t="inlineStr">
        <is>
          <t>Latin American Scholars Pursuing Advanced Research Ties with Spain</t>
        </is>
      </c>
      <c r="Q62" s="7" t="n"/>
      <c r="R62" s="7" t="n"/>
      <c r="S62" s="7" t="n"/>
      <c r="T62" s="7" t="n"/>
      <c r="U62" s="7" t="n"/>
      <c r="V62" s="7" t="n"/>
      <c r="W62" s="7" t="n"/>
      <c r="X62" s="7" t="n"/>
      <c r="Y62" s="7" t="n"/>
      <c r="Z62" s="7" t="n"/>
      <c r="AA62" s="4" t="n"/>
      <c r="AB62" s="4" t="n"/>
      <c r="AC62" s="7">
        <f>IF(AND(E62&lt;&gt;"",COUNTIF($E$2:$E$800,E62)&gt;1),"DUPLICATE","")</f>
        <v/>
      </c>
    </row>
    <row r="63" ht="129.6" customHeight="1" s="6">
      <c r="A63" s="7" t="inlineStr">
        <is>
          <t>australia-awards-scholarships-undergraduate-track-bachelor</t>
        </is>
      </c>
      <c r="B63" s="7" t="inlineStr">
        <is>
          <t>Open</t>
        </is>
      </c>
      <c r="C63" s="7" t="n"/>
      <c r="D63" s="7" t="inlineStr">
        <is>
          <t>Scholarship</t>
        </is>
      </c>
      <c r="E63" s="7" t="inlineStr">
        <is>
          <t>Australia Awards Scholarships (Undergraduate Track)</t>
        </is>
      </c>
      <c r="F63" s="7" t="inlineStr">
        <is>
          <t>Australian Department of Foreign Affairs and Trade — DFAT</t>
        </is>
      </c>
      <c r="G63" s="7" t="inlineStr">
        <is>
          <t>Oceania</t>
        </is>
      </c>
      <c r="H63" s="7" t="inlineStr">
        <is>
          <t>Australia</t>
        </is>
      </c>
      <c r="I63" s="7" t="inlineStr">
        <is>
          <t>Bachelor</t>
        </is>
      </c>
      <c r="J63" s="7" t="inlineStr">
        <is>
          <t>All fields</t>
        </is>
      </c>
      <c r="K63" s="7" t="inlineStr">
        <is>
          <t>Full</t>
        </is>
      </c>
      <c r="L63" s="7" t="inlineStr">
        <is>
          <t>Full Ride (Full tuition fees, return airfare, establishment allowance, contribution to living expenses, OSHC)</t>
        </is>
      </c>
      <c r="M63" s="7" t="inlineStr">
        <is>
          <t>April 30 (Annual cycle for following year intake)</t>
        </is>
      </c>
      <c r="N63" s="7" t="inlineStr">
        <is>
          <t>Citizens of participating developing partner countries (primarily Pacific region and select SIDS for undergraduate study); leadership potential.</t>
        </is>
      </c>
      <c r="O63" s="7" t="inlineStr">
        <is>
          <t>High: Online OASIS Portal Application + Country-Specific Supplementary Forms + References</t>
        </is>
      </c>
      <c r="P63" s="7" t="inlineStr">
        <is>
          <t>Eligible Pacific Region High School Graduates</t>
        </is>
      </c>
      <c r="Q63" s="7" t="inlineStr">
        <is>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is>
      </c>
      <c r="R63" s="7" t="inlineStr">
        <is>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is>
      </c>
      <c r="S63" s="7" t="inlineStr">
        <is>
          <t>Academic competence (30%), Professional and leadership competence (40%), Potential outcome contribution to home country's development (30%).</t>
        </is>
      </c>
      <c r="T63" s="7" t="inlineStr">
        <is>
          <t>Mid-career government officials, NGO directors, and sector specialists from eligible developing nations who demonstrate a clear strategy to drive reform upon returning home (note: scholars must leave Australia for at least 2 years post-graduation).</t>
        </is>
      </c>
      <c r="U63" s="7" t="n"/>
      <c r="V63" s="7" t="inlineStr">
        <is>
          <t>https://www.dfat.gov.au/people-to-people/australia-awards/australia-awards-scholarships</t>
        </is>
      </c>
      <c r="W63" s="7" t="n"/>
      <c r="X63" s="7" t="n"/>
      <c r="Y63" s="7" t="n"/>
      <c r="Z63" s="7" t="n"/>
      <c r="AA63" s="4" t="n"/>
      <c r="AB63" s="4" t="n"/>
      <c r="AC63" s="7">
        <f>IF(AND(E63&lt;&gt;"",COUNTIF($E$2:$E$800,E63)&gt;1),"DUPLICATE","")</f>
        <v/>
      </c>
    </row>
    <row r="64" ht="72" customHeight="1" s="6">
      <c r="A64" s="7" t="inlineStr">
        <is>
          <t>university-of-sydney-international-strategic-scholarships-ba</t>
        </is>
      </c>
      <c r="B64" s="7" t="inlineStr">
        <is>
          <t>Open</t>
        </is>
      </c>
      <c r="C64" s="7" t="n"/>
      <c r="D64" s="7" t="inlineStr">
        <is>
          <t>Scholarship</t>
        </is>
      </c>
      <c r="E64" s="7" t="inlineStr">
        <is>
          <t>University of Sydney International Strategic Scholarships</t>
        </is>
      </c>
      <c r="F64" s="7" t="inlineStr">
        <is>
          <t>University of Sydney</t>
        </is>
      </c>
      <c r="G64" s="7" t="inlineStr">
        <is>
          <t>Oceania</t>
        </is>
      </c>
      <c r="H64" s="7" t="inlineStr">
        <is>
          <t>Australia</t>
        </is>
      </c>
      <c r="I64" s="7" t="inlineStr">
        <is>
          <t>Bachelor</t>
        </is>
      </c>
      <c r="J64" s="7" t="inlineStr">
        <is>
          <t>All fields</t>
        </is>
      </c>
      <c r="K64" s="7" t="inlineStr">
        <is>
          <t>Full</t>
        </is>
      </c>
      <c r="L64" s="7" t="inlineStr">
        <is>
          <t>Full Tuition + Living Allowance Support (Varies by specific faculty and merit tier)</t>
        </is>
      </c>
      <c r="M64" s="7" t="inlineStr">
        <is>
          <t>January / July (Aligned with intake semesters)</t>
        </is>
      </c>
      <c r="N64" s="7" t="inlineStr">
        <is>
          <t>International students enrolling in undergraduate coursework; outstanding high school academic results (ATAR/IB equivalents).</t>
        </is>
      </c>
      <c r="O64" s="7" t="inlineStr">
        <is>
          <t>Medium: University Admission Application + Automatic Consideration or Secondary Form</t>
        </is>
      </c>
      <c r="P64" s="7" t="inlineStr">
        <is>
          <t>High-Achieving International Undergraduates Targeting Sydney</t>
        </is>
      </c>
      <c r="Q64" s="7" t="n"/>
      <c r="R64" s="7" t="n"/>
      <c r="S64" s="7" t="n"/>
      <c r="T64" s="7" t="n"/>
      <c r="U64" s="7" t="n"/>
      <c r="V64" s="7" t="n"/>
      <c r="W64" s="7" t="n"/>
      <c r="X64" s="7" t="n"/>
      <c r="Y64" s="7" t="n"/>
      <c r="Z64" s="7" t="n"/>
      <c r="AA64" s="4" t="n"/>
      <c r="AB64" s="4" t="n"/>
      <c r="AC64" s="7">
        <f>IF(AND(E64&lt;&gt;"",COUNTIF($E$2:$E$800,E64)&gt;1),"DUPLICATE","")</f>
        <v/>
      </c>
    </row>
    <row r="65" ht="57.6" customHeight="1" s="6">
      <c r="A65" s="7" t="inlineStr">
        <is>
          <t>monash-university-international-leadership-scholarship-bache</t>
        </is>
      </c>
      <c r="B65" s="7" t="inlineStr">
        <is>
          <t>Open</t>
        </is>
      </c>
      <c r="C65" s="7" t="n"/>
      <c r="D65" s="7" t="inlineStr">
        <is>
          <t>Scholarship</t>
        </is>
      </c>
      <c r="E65" s="7" t="inlineStr">
        <is>
          <t>Monash University International Leadership Scholarship</t>
        </is>
      </c>
      <c r="F65" s="7" t="inlineStr">
        <is>
          <t>Monash University</t>
        </is>
      </c>
      <c r="G65" s="7" t="inlineStr">
        <is>
          <t>Oceania</t>
        </is>
      </c>
      <c r="H65" s="7" t="inlineStr">
        <is>
          <t>Australia</t>
        </is>
      </c>
      <c r="I65" s="7" t="inlineStr">
        <is>
          <t>Bachelor</t>
        </is>
      </c>
      <c r="J65" s="7" t="inlineStr">
        <is>
          <t>All fields</t>
        </is>
      </c>
      <c r="K65" s="7" t="inlineStr">
        <is>
          <t>Full</t>
        </is>
      </c>
      <c r="L65" s="7" t="inlineStr">
        <is>
          <t>100% Coursework Tuition Fee Waiver (For the full normal duration of the undergraduate degree)</t>
        </is>
      </c>
      <c r="M65" s="7" t="inlineStr">
        <is>
          <t>December / November (Staggered rounds)</t>
        </is>
      </c>
      <c r="N65" s="7" t="inlineStr">
        <is>
          <t>International students receiving a full-fee undergraduate offer; exceptional leadership skills and community engagement.</t>
        </is>
      </c>
      <c r="O65" s="7" t="inlineStr">
        <is>
          <t>High: University Admission Offer + Scholarship Application + 500-word Personal Statement</t>
        </is>
      </c>
      <c r="P65" s="7" t="inlineStr">
        <is>
          <t>Exceptional International Undergraduates with Leadership Records</t>
        </is>
      </c>
      <c r="Q65" s="7" t="n"/>
      <c r="R65" s="7" t="n"/>
      <c r="S65" s="7" t="n"/>
      <c r="T65" s="7" t="n"/>
      <c r="U65" s="7" t="n"/>
      <c r="V65" s="7" t="n"/>
      <c r="W65" s="7" t="n"/>
      <c r="X65" s="7" t="n"/>
      <c r="Y65" s="7" t="n"/>
      <c r="Z65" s="7" t="n"/>
      <c r="AA65" s="4" t="n"/>
      <c r="AB65" s="4" t="n"/>
      <c r="AC65" s="7">
        <f>IF(AND(E65&lt;&gt;"",COUNTIF($E$2:$E$800,E65)&gt;1),"DUPLICATE","")</f>
        <v/>
      </c>
    </row>
    <row r="66" ht="129.6" customHeight="1" s="6">
      <c r="A66" s="7" t="inlineStr">
        <is>
          <t>australia-awards-scholarships-master-s-track-master</t>
        </is>
      </c>
      <c r="B66" s="7" t="inlineStr">
        <is>
          <t>Open</t>
        </is>
      </c>
      <c r="C66" s="7" t="n"/>
      <c r="D66" s="7" t="inlineStr">
        <is>
          <t>Scholarship</t>
        </is>
      </c>
      <c r="E66" s="7" t="inlineStr">
        <is>
          <t>Australia Awards Scholarships (Master's Track)</t>
        </is>
      </c>
      <c r="F66" s="7" t="inlineStr">
        <is>
          <t>Australian DFAT</t>
        </is>
      </c>
      <c r="G66" s="7" t="inlineStr">
        <is>
          <t>Oceania</t>
        </is>
      </c>
      <c r="H66" s="7" t="inlineStr">
        <is>
          <t>Australia</t>
        </is>
      </c>
      <c r="I66" s="7" t="inlineStr">
        <is>
          <t>Master</t>
        </is>
      </c>
      <c r="J66" s="7" t="inlineStr">
        <is>
          <t>All fields</t>
        </is>
      </c>
      <c r="K66" s="7" t="inlineStr">
        <is>
          <t>Full</t>
        </is>
      </c>
      <c r="L66" s="7" t="inlineStr">
        <is>
          <t>Full Ride (Full tuition, return airfares, establishment allowance, living stipend, overseas student health cover)</t>
        </is>
      </c>
      <c r="M66" s="7" t="inlineStr">
        <is>
          <t>April 30 (Annual cycle)</t>
        </is>
      </c>
      <c r="N66" s="7" t="inlineStr">
        <is>
          <t>Citizens of target partner countries across Asia, the Pacific, Africa, and the Middle East; professional work experience.</t>
        </is>
      </c>
      <c r="O66" s="7" t="inlineStr">
        <is>
          <t>High: OASIS Portal Application + Professional CV + Employer Support + 2 Referees</t>
        </is>
      </c>
      <c r="P66" s="7" t="inlineStr">
        <is>
          <t>Mid-Career Professionals from Eligible Partner Countries</t>
        </is>
      </c>
      <c r="Q66" s="7" t="inlineStr">
        <is>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is>
      </c>
      <c r="R66" s="7" t="inlineStr">
        <is>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is>
      </c>
      <c r="S66" s="7" t="inlineStr">
        <is>
          <t>Academic competence (30%), Professional and leadership competence (40%), Potential outcome contribution to home country's development (30%).</t>
        </is>
      </c>
      <c r="T66" s="7" t="inlineStr">
        <is>
          <t>Mid-career government officials, NGO directors, and sector specialists from eligible developing nations who demonstrate a clear strategy to drive reform upon returning home (note: scholars must leave Australia for at least 2 years post-graduation).</t>
        </is>
      </c>
      <c r="U66" s="7" t="n"/>
      <c r="V66" s="7" t="inlineStr">
        <is>
          <t>https://www.dfat.gov.au/people-to-people/australia-awards/australia-awards-scholarships</t>
        </is>
      </c>
      <c r="W66" s="7" t="n"/>
      <c r="X66" s="7" t="n"/>
      <c r="Y66" s="7" t="n"/>
      <c r="Z66" s="7" t="inlineStr">
        <is>
          <t>Work experience</t>
        </is>
      </c>
      <c r="AA66" s="4" t="n"/>
      <c r="AB66" s="4" t="n"/>
      <c r="AC66" s="7">
        <f>IF(AND(E66&lt;&gt;"",COUNTIF($E$2:$E$800,E66)&gt;1),"DUPLICATE","")</f>
        <v/>
      </c>
    </row>
    <row r="67" ht="57.6" customHeight="1" s="6">
      <c r="A67" s="7" t="inlineStr">
        <is>
          <t>australia-for-asean-scholarships-master</t>
        </is>
      </c>
      <c r="B67" s="7" t="inlineStr">
        <is>
          <t>Open</t>
        </is>
      </c>
      <c r="C67" s="7" t="n"/>
      <c r="D67" s="7" t="inlineStr">
        <is>
          <t>Scholarship</t>
        </is>
      </c>
      <c r="E67" s="7" t="inlineStr">
        <is>
          <t>Australia for ASEAN Scholarships</t>
        </is>
      </c>
      <c r="F67" s="7" t="inlineStr">
        <is>
          <t>Australian Government</t>
        </is>
      </c>
      <c r="G67" s="7" t="inlineStr">
        <is>
          <t>Oceania</t>
        </is>
      </c>
      <c r="H67" s="7" t="inlineStr">
        <is>
          <t>Australia</t>
        </is>
      </c>
      <c r="I67" s="7" t="inlineStr">
        <is>
          <t>Master</t>
        </is>
      </c>
      <c r="J67" s="7" t="inlineStr">
        <is>
          <t>Social Sciences &amp; Humanities</t>
        </is>
      </c>
      <c r="K67" s="7" t="inlineStr">
        <is>
          <t>Full</t>
        </is>
      </c>
      <c r="L67" s="7" t="inlineStr">
        <is>
          <t>Full Master's Sponsorship (Full tuition, living allowance, airfare, introductory academic program)</t>
        </is>
      </c>
      <c r="M67" s="7" t="inlineStr">
        <is>
          <t>April 30 (Annual cycle)</t>
        </is>
      </c>
      <c r="N67" s="7" t="inlineStr">
        <is>
          <t>Citizens of ASEAN member states (Indonesia, Vietnam, Thailand, etc.) and Timor-Leste; focus on Indo-Pacific priority areas.</t>
        </is>
      </c>
      <c r="O67" s="7" t="inlineStr">
        <is>
          <t>High: Online Portal Application + Professional Background Statement + Endorsement</t>
        </is>
      </c>
      <c r="P67" s="7" t="inlineStr">
        <is>
          <t>ASEAN Professionals Seeking Master's Leadership Training</t>
        </is>
      </c>
      <c r="Q67" s="7" t="n"/>
      <c r="R67" s="7" t="n"/>
      <c r="S67" s="7" t="n"/>
      <c r="T67" s="7" t="n"/>
      <c r="U67" s="7" t="n"/>
      <c r="V67" s="7" t="n"/>
      <c r="W67" s="7" t="n"/>
      <c r="X67" s="7" t="n"/>
      <c r="Y67" s="7" t="n"/>
      <c r="Z67" s="7" t="n"/>
      <c r="AA67" s="4" t="n"/>
      <c r="AB67" s="4" t="n"/>
      <c r="AC67" s="7">
        <f>IF(AND(E67&lt;&gt;"",COUNTIF($E$2:$E$800,E67)&gt;1),"DUPLICATE","")</f>
        <v/>
      </c>
    </row>
    <row r="68" ht="72" customHeight="1" s="6">
      <c r="A68" s="7" t="inlineStr">
        <is>
          <t>melbourne-graduate-research-scholarships-coursework-research</t>
        </is>
      </c>
      <c r="B68" s="7" t="inlineStr">
        <is>
          <t>Open</t>
        </is>
      </c>
      <c r="C68" s="7" t="n"/>
      <c r="D68" s="7" t="inlineStr">
        <is>
          <t>Scholarship</t>
        </is>
      </c>
      <c r="E68" s="7" t="inlineStr">
        <is>
          <t>Melbourne Graduate Research Scholarships (Coursework/Research)</t>
        </is>
      </c>
      <c r="F68" s="7" t="inlineStr">
        <is>
          <t>University of Melbourne</t>
        </is>
      </c>
      <c r="G68" s="7" t="inlineStr">
        <is>
          <t>Oceania</t>
        </is>
      </c>
      <c r="H68" s="7" t="inlineStr">
        <is>
          <t>Australia</t>
        </is>
      </c>
      <c r="I68" s="7" t="inlineStr">
        <is>
          <t>Master</t>
        </is>
      </c>
      <c r="J68" s="7" t="inlineStr">
        <is>
          <t>All fields</t>
        </is>
      </c>
      <c r="K68" s="7" t="inlineStr">
        <is>
          <t>Full</t>
        </is>
      </c>
      <c r="L68" s="7" t="inlineStr">
        <is>
          <t>Full Fee Offset + Living Allowance (Fee offset + ~AUD $39,500 annual living stipend + relocation grant)</t>
        </is>
      </c>
      <c r="M68" s="7" t="inlineStr">
        <is>
          <t>October / Rolling</t>
        </is>
      </c>
      <c r="N68" s="7" t="inlineStr">
        <is>
          <t>International and domestic students admitted to a graduate research degree (Master's by Research or PhD) with stellar academic marks.</t>
        </is>
      </c>
      <c r="O68" s="7" t="inlineStr">
        <is>
          <t>Medium-High: Graduate Course Application (automatic consideration for research scholars)</t>
        </is>
      </c>
      <c r="P68" s="7" t="inlineStr">
        <is>
          <t>Top-Tier Research Master's Applicants</t>
        </is>
      </c>
      <c r="Q68" s="7" t="n"/>
      <c r="R68" s="7" t="n"/>
      <c r="S68" s="7" t="n"/>
      <c r="T68" s="7" t="n"/>
      <c r="U68" s="7" t="n"/>
      <c r="V68" s="7" t="n"/>
      <c r="W68" s="7" t="n"/>
      <c r="X68" s="7" t="n"/>
      <c r="Y68" s="7" t="n"/>
      <c r="Z68" s="7" t="inlineStr">
        <is>
          <t>Research</t>
        </is>
      </c>
      <c r="AA68" s="4" t="n"/>
      <c r="AB68" s="4" t="n"/>
      <c r="AC68" s="7">
        <f>IF(AND(E68&lt;&gt;"",COUNTIF($E$2:$E$800,E68)&gt;1),"DUPLICATE","")</f>
        <v/>
      </c>
    </row>
    <row r="69" ht="57.6" customHeight="1" s="6">
      <c r="A69" s="7" t="inlineStr">
        <is>
          <t>unsw-scientia-coursework-scholarship-master</t>
        </is>
      </c>
      <c r="B69" s="7" t="inlineStr">
        <is>
          <t>Open</t>
        </is>
      </c>
      <c r="C69" s="7" t="n"/>
      <c r="D69" s="7" t="inlineStr">
        <is>
          <t>Scholarship</t>
        </is>
      </c>
      <c r="E69" s="7" t="inlineStr">
        <is>
          <t>UNSW Scientia Coursework Scholarship</t>
        </is>
      </c>
      <c r="F69" s="7" t="inlineStr">
        <is>
          <t>University of New South Wales</t>
        </is>
      </c>
      <c r="G69" s="7" t="inlineStr">
        <is>
          <t>Oceania</t>
        </is>
      </c>
      <c r="H69" s="7" t="inlineStr">
        <is>
          <t>Australia</t>
        </is>
      </c>
      <c r="I69" s="7" t="inlineStr">
        <is>
          <t>Master</t>
        </is>
      </c>
      <c r="J69" s="7" t="inlineStr">
        <is>
          <t>All fields</t>
        </is>
      </c>
      <c r="K69" s="7" t="inlineStr">
        <is>
          <t>Partial</t>
        </is>
      </c>
      <c r="L69" s="7" t="inlineStr">
        <is>
          <t>Full Tuition or AU$20,000 per year for the duration of the program</t>
        </is>
      </c>
      <c r="M69" s="7" t="inlineStr">
        <is>
          <t>July / November</t>
        </is>
      </c>
      <c r="N69" s="7" t="inlineStr">
        <is>
          <t>High-achieving international students undertaking undergraduate or postgraduate coursework programs at UNSW.</t>
        </is>
      </c>
      <c r="O69" s="7" t="inlineStr">
        <is>
          <t>Medium: Admission Application + Separate Scientia Scholarship Essay</t>
        </is>
      </c>
      <c r="P69" s="7" t="inlineStr">
        <is>
          <t>High-Achieving Coursework Applicants</t>
        </is>
      </c>
      <c r="Q69" s="7" t="n"/>
      <c r="R69" s="7" t="n"/>
      <c r="S69" s="7" t="n"/>
      <c r="T69" s="7" t="n"/>
      <c r="U69" s="7" t="n"/>
      <c r="V69" s="7" t="n"/>
      <c r="W69" s="7" t="n"/>
      <c r="X69" s="7" t="n"/>
      <c r="Y69" s="7" t="n"/>
      <c r="Z69" s="7" t="n"/>
      <c r="AA69" s="4" t="n"/>
      <c r="AB69" s="4" t="n"/>
      <c r="AC69" s="7">
        <f>IF(AND(E69&lt;&gt;"",COUNTIF($E$2:$E$800,E69)&gt;1),"DUPLICATE","")</f>
        <v/>
      </c>
    </row>
    <row r="70" ht="144" customHeight="1" s="6">
      <c r="A70" s="7" t="inlineStr">
        <is>
          <t>australian-government-research-training-program-rtp-phd</t>
        </is>
      </c>
      <c r="B70" s="7" t="inlineStr">
        <is>
          <t>Open</t>
        </is>
      </c>
      <c r="C70" s="7" t="n"/>
      <c r="D70" s="7" t="inlineStr">
        <is>
          <t>Scholarship</t>
        </is>
      </c>
      <c r="E70" s="7" t="inlineStr">
        <is>
          <t>Australian Government Research Training Program (RTP)</t>
        </is>
      </c>
      <c r="F70" s="7" t="inlineStr">
        <is>
          <t>Australian Universities / Department of Education</t>
        </is>
      </c>
      <c r="G70" s="7" t="inlineStr">
        <is>
          <t>Oceania</t>
        </is>
      </c>
      <c r="H70" s="7" t="inlineStr">
        <is>
          <t>Australia</t>
        </is>
      </c>
      <c r="I70" s="7" t="inlineStr">
        <is>
          <t>PhD</t>
        </is>
      </c>
      <c r="J70" s="7" t="inlineStr">
        <is>
          <t>All fields</t>
        </is>
      </c>
      <c r="K70" s="7" t="inlineStr">
        <is>
          <t>Full</t>
        </is>
      </c>
      <c r="L70" s="7" t="inlineStr">
        <is>
          <t>Full Research Package (Tuition fee offset + annual living stipend ~$37,000–$42,750 + health cover)</t>
        </is>
      </c>
      <c r="M70" s="7" t="inlineStr">
        <is>
          <t>Rolling / Staggered (Managed directly by individual universities e.g., ANU, Sydney, Melbourne, Monash, UQ)</t>
        </is>
      </c>
      <c r="N70" s="7" t="inlineStr">
        <is>
          <t>Outstanding international and domestic students enrolled in a Research Doctorate (PhD) or Research Master's degree.</t>
        </is>
      </c>
      <c r="O70" s="7" t="inlineStr">
        <is>
          <t>Very High: University Admission + Research Proposal + Potential Supervisor Support + CV</t>
        </is>
      </c>
      <c r="P70" s="7" t="inlineStr">
        <is>
          <t>Global PhD Researchers Seeking Full Australian State Funding</t>
        </is>
      </c>
      <c r="Q70" s="7" t="inlineStr">
        <is>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is>
      </c>
      <c r="R70" s="7" t="inlineStr">
        <is>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is>
      </c>
      <c r="S70" s="7" t="inlineStr">
        <is>
          <t>Academic merit and publication track record (50%), Quality and feasibility of the research proposal (30%), Supervisor alignment and university research capacity (20%).</t>
        </is>
      </c>
      <c r="T70" s="7" t="inlineStr">
        <is>
          <t>Exceptional research graduates with prior thesis experience, co-authored journal papers, or top university rankings who secure a faculty supervisor advocate before official application rounds.</t>
        </is>
      </c>
      <c r="U70" s="7" t="n"/>
      <c r="V70" s="7" t="inlineStr">
        <is>
          <t>https://www.education.gov.au/research-training-program</t>
        </is>
      </c>
      <c r="W70" s="7" t="n"/>
      <c r="X70" s="7" t="n"/>
      <c r="Y70" s="7" t="n"/>
      <c r="Z70" s="7" t="inlineStr">
        <is>
          <t>Research</t>
        </is>
      </c>
      <c r="AA70" s="4" t="n"/>
      <c r="AB70" s="4" t="n"/>
      <c r="AC70" s="7">
        <f>IF(AND(E70&lt;&gt;"",COUNTIF($E$2:$E$800,E70)&gt;1),"DUPLICATE","")</f>
        <v/>
      </c>
    </row>
    <row r="71" ht="43.2" customHeight="1" s="6">
      <c r="A71" s="7" t="inlineStr">
        <is>
          <t>sydney-university-postgraduate-award-usydis-phd</t>
        </is>
      </c>
      <c r="B71" s="7" t="inlineStr">
        <is>
          <t>Open</t>
        </is>
      </c>
      <c r="C71" s="7" t="n"/>
      <c r="D71" s="7" t="inlineStr">
        <is>
          <t>Scholarship</t>
        </is>
      </c>
      <c r="E71" s="7" t="inlineStr">
        <is>
          <t>Sydney University Postgraduate Award (USYDIS)</t>
        </is>
      </c>
      <c r="F71" s="7" t="inlineStr">
        <is>
          <t>University of Sydney</t>
        </is>
      </c>
      <c r="G71" s="7" t="inlineStr">
        <is>
          <t>Oceania</t>
        </is>
      </c>
      <c r="H71" s="7" t="inlineStr">
        <is>
          <t>Australia</t>
        </is>
      </c>
      <c r="I71" s="7" t="inlineStr">
        <is>
          <t>PhD</t>
        </is>
      </c>
      <c r="J71" s="7" t="inlineStr">
        <is>
          <t>All fields</t>
        </is>
      </c>
      <c r="K71" s="7" t="inlineStr">
        <is>
          <t>Full</t>
        </is>
      </c>
      <c r="L71" s="7" t="inlineStr">
        <is>
          <t>Full Tuition + ~AUD $42,754 annual stipend (For up to 3.5 years for PhD candidates)</t>
        </is>
      </c>
      <c r="M71" s="7" t="inlineStr">
        <is>
          <t>Staggered rounds</t>
        </is>
      </c>
      <c r="N71" s="7" t="inlineStr">
        <is>
          <t>International postgraduate research students with First Class Honours equivalent academic standing.</t>
        </is>
      </c>
      <c r="O71" s="7" t="inlineStr">
        <is>
          <t>High: Research Admission Portal + Scholarship Application Form + Supervisor Endorsement</t>
        </is>
      </c>
      <c r="P71" s="7" t="inlineStr">
        <is>
          <t>Elite PhD Candidates Targeting Sydney</t>
        </is>
      </c>
      <c r="Q71" s="7" t="n"/>
      <c r="R71" s="7" t="n"/>
      <c r="S71" s="7" t="n"/>
      <c r="T71" s="7" t="n"/>
      <c r="U71" s="7" t="n"/>
      <c r="V71" s="7" t="n"/>
      <c r="W71" s="7" t="n"/>
      <c r="X71" s="7" t="n"/>
      <c r="Y71" s="7" t="n"/>
      <c r="Z71" s="7" t="inlineStr">
        <is>
          <t>Research</t>
        </is>
      </c>
      <c r="AA71" s="4" t="n"/>
      <c r="AB71" s="4" t="n"/>
      <c r="AC71" s="7">
        <f>IF(AND(E71&lt;&gt;"",COUNTIF($E$2:$E$800,E71)&gt;1),"DUPLICATE","")</f>
        <v/>
      </c>
    </row>
    <row r="72" ht="43.2" customHeight="1" s="6">
      <c r="A72" s="7" t="inlineStr">
        <is>
          <t>monash-graduate-scholarship-mgs-mits-phd</t>
        </is>
      </c>
      <c r="B72" s="7" t="inlineStr">
        <is>
          <t>Open</t>
        </is>
      </c>
      <c r="C72" s="7" t="n"/>
      <c r="D72" s="7" t="inlineStr">
        <is>
          <t>Scholarship</t>
        </is>
      </c>
      <c r="E72" s="7" t="inlineStr">
        <is>
          <t>Monash Graduate Scholarship (MGS) + MITS</t>
        </is>
      </c>
      <c r="F72" s="7" t="inlineStr">
        <is>
          <t>Monash University</t>
        </is>
      </c>
      <c r="G72" s="7" t="inlineStr">
        <is>
          <t>Oceania</t>
        </is>
      </c>
      <c r="H72" s="7" t="inlineStr">
        <is>
          <t>Australia</t>
        </is>
      </c>
      <c r="I72" s="7" t="inlineStr">
        <is>
          <t>PhD</t>
        </is>
      </c>
      <c r="J72" s="7" t="inlineStr">
        <is>
          <t>All fields</t>
        </is>
      </c>
      <c r="K72" s="7" t="inlineStr">
        <is>
          <t>Full</t>
        </is>
      </c>
      <c r="L72" s="7" t="inlineStr">
        <is>
          <t>Full Tuition Offset + ~AUD $37,145 annual stipend</t>
        </is>
      </c>
      <c r="M72" s="7" t="inlineStr">
        <is>
          <t>Staggered rounds</t>
        </is>
      </c>
      <c r="N72" s="7" t="inlineStr">
        <is>
          <t>High-caliber international students undertaking a PhD or Master's by Research at Monash University.</t>
        </is>
      </c>
      <c r="O72" s="7" t="inlineStr">
        <is>
          <t>High: Graduate Research Admission &amp; Scholarship Application</t>
        </is>
      </c>
      <c r="P72" s="7" t="inlineStr">
        <is>
          <t>STEM and Humanities Doctoral Researchers at Monash</t>
        </is>
      </c>
      <c r="Q72" s="7" t="n"/>
      <c r="R72" s="7" t="n"/>
      <c r="S72" s="7" t="n"/>
      <c r="T72" s="7" t="n"/>
      <c r="U72" s="7" t="n"/>
      <c r="V72" s="7" t="n"/>
      <c r="W72" s="7" t="n"/>
      <c r="X72" s="7" t="n"/>
      <c r="Y72" s="7" t="n"/>
      <c r="Z72" s="7" t="inlineStr">
        <is>
          <t>Research</t>
        </is>
      </c>
      <c r="AA72" s="4" t="n"/>
      <c r="AB72" s="4" t="n"/>
      <c r="AC72" s="7">
        <f>IF(AND(E72&lt;&gt;"",COUNTIF($E$2:$E$800,E72)&gt;1),"DUPLICATE","")</f>
        <v/>
      </c>
    </row>
    <row r="73" ht="129.6" customHeight="1" s="6">
      <c r="A73" s="7" t="inlineStr">
        <is>
          <t>manaaki-new-zealand-scholarships-undergraduate-track-bachelo</t>
        </is>
      </c>
      <c r="B73" s="7" t="inlineStr">
        <is>
          <t>Open</t>
        </is>
      </c>
      <c r="C73" s="7" t="n"/>
      <c r="D73" s="7" t="inlineStr">
        <is>
          <t>Scholarship</t>
        </is>
      </c>
      <c r="E73" s="7" t="inlineStr">
        <is>
          <t>Manaaki New Zealand Scholarships (Undergraduate Track)</t>
        </is>
      </c>
      <c r="F73" s="7" t="inlineStr">
        <is>
          <t>New Zealand Ministry of Foreign Affairs and Trade — MFAT</t>
        </is>
      </c>
      <c r="G73" s="7" t="inlineStr">
        <is>
          <t>Oceania</t>
        </is>
      </c>
      <c r="H73" s="7" t="inlineStr">
        <is>
          <t>New Zealand</t>
        </is>
      </c>
      <c r="I73" s="7" t="inlineStr">
        <is>
          <t>Bachelor</t>
        </is>
      </c>
      <c r="J73" s="7" t="inlineStr">
        <is>
          <t>All fields</t>
        </is>
      </c>
      <c r="K73" s="7" t="inlineStr">
        <is>
          <t>Full</t>
        </is>
      </c>
      <c r="L73" s="7" t="inlineStr">
        <is>
          <t>Full Ride (Full tuition fees, living allowance ~NZ$23,100/yr, establishment grant, medical insurance, travel)</t>
        </is>
      </c>
      <c r="M73" s="7" t="inlineStr">
        <is>
          <t>February (Annual window)</t>
        </is>
      </c>
      <c r="N73" s="7" t="inlineStr">
        <is>
          <t>Citizens of eligible developing partner countries in the Pacific and South/Southeast Asia; high school graduates with leadership potential.</t>
        </is>
      </c>
      <c r="O73" s="7" t="inlineStr">
        <is>
          <t>High: Online Manaaki Portal Application + Country-Specific Eligibility Check + References</t>
        </is>
      </c>
      <c r="P73" s="7" t="inlineStr">
        <is>
          <t>Eligible Pacific &amp; Asian High School Graduates</t>
        </is>
      </c>
      <c r="Q73" s="7" t="inlineStr">
        <is>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is>
      </c>
      <c r="R73" s="7" t="inlineStr">
        <is>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is>
      </c>
      <c r="S73" s="7" t="inlineStr">
        <is>
          <t>Academic capability (30%), Professional and leadership skills (40%), Commitment to home country development (30%).</t>
        </is>
      </c>
      <c r="T73" s="7" t="inlineStr">
        <is>
          <t>Mid-career agricultural experts, environmental scientists, and public policy leaders from eligible Pacific, Asian, African, and Latin American nations who articulate a clear plan to return home and enact positive reform.</t>
        </is>
      </c>
      <c r="U73" s="7" t="n"/>
      <c r="V73" s="7" t="inlineStr">
        <is>
          <t>https://www.nzscholarships.govt.nz/</t>
        </is>
      </c>
      <c r="W73" s="7" t="n"/>
      <c r="X73" s="7" t="n"/>
      <c r="Y73" s="7" t="n"/>
      <c r="Z73" s="7" t="n"/>
      <c r="AA73" s="4" t="n"/>
      <c r="AB73" s="4" t="n"/>
      <c r="AC73" s="7">
        <f>IF(AND(E73&lt;&gt;"",COUNTIF($E$2:$E$800,E73)&gt;1),"DUPLICATE","")</f>
        <v/>
      </c>
    </row>
    <row r="74" ht="72" customHeight="1" s="6">
      <c r="A74" s="7" t="inlineStr">
        <is>
          <t>university-of-auckland-international-student-scholarships-ba</t>
        </is>
      </c>
      <c r="B74" s="7" t="inlineStr">
        <is>
          <t>Open</t>
        </is>
      </c>
      <c r="C74" s="7" t="n"/>
      <c r="D74" s="7" t="inlineStr">
        <is>
          <t>Scholarship</t>
        </is>
      </c>
      <c r="E74" s="7" t="inlineStr">
        <is>
          <t>University of Auckland International Student Scholarships</t>
        </is>
      </c>
      <c r="F74" s="7" t="inlineStr">
        <is>
          <t>University of Auckland</t>
        </is>
      </c>
      <c r="G74" s="7" t="inlineStr">
        <is>
          <t>Oceania</t>
        </is>
      </c>
      <c r="H74" s="7" t="inlineStr">
        <is>
          <t>New Zealand</t>
        </is>
      </c>
      <c r="I74" s="7" t="inlineStr">
        <is>
          <t>Bachelor</t>
        </is>
      </c>
      <c r="J74" s="7" t="inlineStr">
        <is>
          <t>All fields</t>
        </is>
      </c>
      <c r="K74" s="7" t="inlineStr">
        <is>
          <t>Partial</t>
        </is>
      </c>
      <c r="L74" s="7" t="inlineStr">
        <is>
          <t>Up to NZ$10,000 (Tuition fee reduction applied towards undergraduate coursework study)</t>
        </is>
      </c>
      <c r="M74" s="7" t="inlineStr">
        <is>
          <t>November / July (Staggered by semester intake)</t>
        </is>
      </c>
      <c r="N74" s="7" t="inlineStr">
        <is>
          <t>International students paying full international fees; high academic merit based on high school results.</t>
        </is>
      </c>
      <c r="O74" s="7" t="inlineStr">
        <is>
          <t>Medium: University Admission Offer + Separate Scholarship Application Form</t>
        </is>
      </c>
      <c r="P74" s="7" t="inlineStr">
        <is>
          <t>High-Achieving Undergraduates Targeting Auckland</t>
        </is>
      </c>
      <c r="Q74" s="7" t="n"/>
      <c r="R74" s="7" t="n"/>
      <c r="S74" s="7" t="n"/>
      <c r="T74" s="7" t="n"/>
      <c r="U74" s="7" t="n"/>
      <c r="V74" s="7" t="n"/>
      <c r="W74" s="7" t="n"/>
      <c r="X74" s="7" t="n"/>
      <c r="Y74" s="7" t="n"/>
      <c r="Z74" s="7" t="n"/>
      <c r="AA74" s="4" t="n"/>
      <c r="AB74" s="4" t="n"/>
      <c r="AC74" s="7">
        <f>IF(AND(E74&lt;&gt;"",COUNTIF($E$2:$E$800,E74)&gt;1),"DUPLICATE","")</f>
        <v/>
      </c>
    </row>
    <row r="75" ht="72" customHeight="1" s="6">
      <c r="A75" s="7" t="inlineStr">
        <is>
          <t>university-of-otago-international-bachelor-scholarships-bach</t>
        </is>
      </c>
      <c r="B75" s="7" t="inlineStr">
        <is>
          <t>Open</t>
        </is>
      </c>
      <c r="C75" s="7" t="n"/>
      <c r="D75" s="7" t="inlineStr">
        <is>
          <t>Scholarship</t>
        </is>
      </c>
      <c r="E75" s="7" t="inlineStr">
        <is>
          <t>University of Otago International Bachelor Scholarships</t>
        </is>
      </c>
      <c r="F75" s="7" t="inlineStr">
        <is>
          <t>University of Otago</t>
        </is>
      </c>
      <c r="G75" s="7" t="inlineStr">
        <is>
          <t>Oceania</t>
        </is>
      </c>
      <c r="H75" s="7" t="inlineStr">
        <is>
          <t>New Zealand</t>
        </is>
      </c>
      <c r="I75" s="7" t="inlineStr">
        <is>
          <t>Bachelor</t>
        </is>
      </c>
      <c r="J75" s="7" t="inlineStr">
        <is>
          <t>Education</t>
        </is>
      </c>
      <c r="K75" s="7" t="inlineStr">
        <is>
          <t>Partial</t>
        </is>
      </c>
      <c r="L75" s="7" t="inlineStr">
        <is>
          <t>NZ$10,000 tuition waiver (For the first year of undergraduate study)</t>
        </is>
      </c>
      <c r="M75" s="7" t="inlineStr">
        <is>
          <t>December / June</t>
        </is>
      </c>
      <c r="N75" s="7" t="inlineStr">
        <is>
          <t>International students commencing undergraduate studies; academic excellence in secondary education.</t>
        </is>
      </c>
      <c r="O75" s="7" t="inlineStr">
        <is>
          <t>Medium: Otago Admission Application + Online Scholarship Portal</t>
        </is>
      </c>
      <c r="P75" s="7" t="inlineStr">
        <is>
          <t>Undergraduates Seeking Study in Dunedin</t>
        </is>
      </c>
      <c r="Q75" s="7" t="n"/>
      <c r="R75" s="7" t="n"/>
      <c r="S75" s="7" t="n"/>
      <c r="T75" s="7" t="n"/>
      <c r="U75" s="7" t="n"/>
      <c r="V75" s="7" t="n"/>
      <c r="W75" s="7" t="n"/>
      <c r="X75" s="7" t="n"/>
      <c r="Y75" s="7" t="n"/>
      <c r="Z75" s="7" t="n"/>
      <c r="AA75" s="4" t="n"/>
      <c r="AB75" s="4" t="n"/>
      <c r="AC75" s="7">
        <f>IF(AND(E75&lt;&gt;"",COUNTIF($E$2:$E$800,E75)&gt;1),"DUPLICATE","")</f>
        <v/>
      </c>
    </row>
    <row r="76" ht="129.6" customHeight="1" s="6">
      <c r="A76" s="7" t="inlineStr">
        <is>
          <t>manaaki-new-zealand-scholarships-postgraduate-track-master</t>
        </is>
      </c>
      <c r="B76" s="7" t="inlineStr">
        <is>
          <t>Open</t>
        </is>
      </c>
      <c r="C76" s="7" t="n"/>
      <c r="D76" s="7" t="inlineStr">
        <is>
          <t>Scholarship</t>
        </is>
      </c>
      <c r="E76" s="7" t="inlineStr">
        <is>
          <t>Manaaki New Zealand Scholarships (Postgraduate Track)</t>
        </is>
      </c>
      <c r="F76" s="7" t="inlineStr">
        <is>
          <t>New Zealand MFAT</t>
        </is>
      </c>
      <c r="G76" s="7" t="inlineStr">
        <is>
          <t>Oceania</t>
        </is>
      </c>
      <c r="H76" s="7" t="inlineStr">
        <is>
          <t>New Zealand</t>
        </is>
      </c>
      <c r="I76" s="7" t="inlineStr">
        <is>
          <t>Master</t>
        </is>
      </c>
      <c r="J76" s="7" t="inlineStr">
        <is>
          <t>All fields</t>
        </is>
      </c>
      <c r="K76" s="7" t="inlineStr">
        <is>
          <t>Full</t>
        </is>
      </c>
      <c r="L76" s="7" t="inlineStr">
        <is>
          <t>Full Ride (Full tuition, living stipend ~NZ$31,200/yr, research allowances, medical insurance, return flights)</t>
        </is>
      </c>
      <c r="M76" s="7" t="inlineStr">
        <is>
          <t>February (Annual cycle)</t>
        </is>
      </c>
      <c r="N76" s="7" t="inlineStr">
        <is>
          <t>Citizens of eligible developing nations across the Pacific, Asia, Africa, and Latin America; 1–2 years of work experience preferred.</t>
        </is>
      </c>
      <c r="O76" s="7" t="inlineStr">
        <is>
          <t>High: Online Manaaki Portal Application + Professional CV + Employer Support + 2 Referees</t>
        </is>
      </c>
      <c r="P76" s="7" t="inlineStr">
        <is>
          <t>Mid-Career Professionals from Eligible Partner Countries</t>
        </is>
      </c>
      <c r="Q76" s="7" t="inlineStr">
        <is>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is>
      </c>
      <c r="R76" s="7" t="inlineStr">
        <is>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is>
      </c>
      <c r="S76" s="7" t="inlineStr">
        <is>
          <t>Academic capability (30%), Professional and leadership skills (40%), Commitment to home country development (30%).</t>
        </is>
      </c>
      <c r="T76" s="7" t="inlineStr">
        <is>
          <t>Mid-career agricultural experts, environmental scientists, and public policy leaders from eligible Pacific, Asian, African, and Latin American nations who articulate a clear plan to return home and enact positive reform.</t>
        </is>
      </c>
      <c r="U76" s="7" t="n"/>
      <c r="V76" s="7" t="inlineStr">
        <is>
          <t>https://www.nzscholarships.govt.nz/</t>
        </is>
      </c>
      <c r="W76" s="7" t="n"/>
      <c r="X76" s="7" t="n"/>
      <c r="Y76" s="7" t="n"/>
      <c r="Z76" s="7" t="inlineStr">
        <is>
          <t>Work experience</t>
        </is>
      </c>
      <c r="AA76" s="4" t="n"/>
      <c r="AB76" s="4" t="n"/>
      <c r="AC76" s="7">
        <f>IF(AND(E76&lt;&gt;"",COUNTIF($E$2:$E$800,E76)&gt;1),"DUPLICATE","")</f>
        <v/>
      </c>
    </row>
    <row r="77" ht="72" customHeight="1" s="6">
      <c r="A77" s="7" t="inlineStr">
        <is>
          <t>university-of-canterbury-international-master-s-scholarship-</t>
        </is>
      </c>
      <c r="B77" s="7" t="inlineStr">
        <is>
          <t>Open</t>
        </is>
      </c>
      <c r="C77" s="7" t="n"/>
      <c r="D77" s="7" t="inlineStr">
        <is>
          <t>Scholarship</t>
        </is>
      </c>
      <c r="E77" s="7" t="inlineStr">
        <is>
          <t>University of Canterbury International Master's Scholarship</t>
        </is>
      </c>
      <c r="F77" s="7" t="inlineStr">
        <is>
          <t>University of Canterbury</t>
        </is>
      </c>
      <c r="G77" s="7" t="inlineStr">
        <is>
          <t>Oceania</t>
        </is>
      </c>
      <c r="H77" s="7" t="inlineStr">
        <is>
          <t>New Zealand</t>
        </is>
      </c>
      <c r="I77" s="7" t="inlineStr">
        <is>
          <t>Master</t>
        </is>
      </c>
      <c r="J77" s="7" t="inlineStr">
        <is>
          <t>All fields</t>
        </is>
      </c>
      <c r="K77" s="7" t="inlineStr">
        <is>
          <t>Full</t>
        </is>
      </c>
      <c r="L77" s="7" t="inlineStr">
        <is>
          <t>Full Tuition Fees + NZ$15,000 Stipend (For research-based Master's programmes)</t>
        </is>
      </c>
      <c r="M77" s="7" t="inlineStr">
        <is>
          <t>October / March</t>
        </is>
      </c>
      <c r="N77" s="7" t="inlineStr">
        <is>
          <t>Top-tier international students enrolling in a research-only or thesis-based Master's degree at Canterbury.</t>
        </is>
      </c>
      <c r="O77" s="7" t="inlineStr">
        <is>
          <t>Medium-High: Master's Admission Application + Scholarship Nomination Form</t>
        </is>
      </c>
      <c r="P77" s="7" t="inlineStr">
        <is>
          <t>Thesis-Based Master's Applicants in Christchurch</t>
        </is>
      </c>
      <c r="Q77" s="7" t="n"/>
      <c r="R77" s="7" t="n"/>
      <c r="S77" s="7" t="n"/>
      <c r="T77" s="7" t="n"/>
      <c r="U77" s="7" t="n"/>
      <c r="V77" s="7" t="n"/>
      <c r="W77" s="7" t="n"/>
      <c r="X77" s="7" t="n"/>
      <c r="Y77" s="7" t="n"/>
      <c r="Z77" s="7" t="inlineStr">
        <is>
          <t>Research</t>
        </is>
      </c>
      <c r="AA77" s="4" t="n"/>
      <c r="AB77" s="4" t="n"/>
      <c r="AC77" s="7">
        <f>IF(AND(E77&lt;&gt;"",COUNTIF($E$2:$E$800,E77)&gt;1),"DUPLICATE","")</f>
        <v/>
      </c>
    </row>
    <row r="78" ht="57.6" customHeight="1" s="6">
      <c r="A78" s="7" t="inlineStr">
        <is>
          <t>victoria-university-of-wellington-master-s-scholarship-maste</t>
        </is>
      </c>
      <c r="B78" s="7" t="inlineStr">
        <is>
          <t>Open</t>
        </is>
      </c>
      <c r="C78" s="7" t="n"/>
      <c r="D78" s="7" t="inlineStr">
        <is>
          <t>Scholarship</t>
        </is>
      </c>
      <c r="E78" s="7" t="inlineStr">
        <is>
          <t>Victoria University of Wellington Master's Scholarship</t>
        </is>
      </c>
      <c r="F78" s="7" t="inlineStr">
        <is>
          <t>Victoria University of Wellington</t>
        </is>
      </c>
      <c r="G78" s="7" t="inlineStr">
        <is>
          <t>Oceania</t>
        </is>
      </c>
      <c r="H78" s="7" t="inlineStr">
        <is>
          <t>New Zealand</t>
        </is>
      </c>
      <c r="I78" s="7" t="inlineStr">
        <is>
          <t>Master</t>
        </is>
      </c>
      <c r="J78" s="7" t="inlineStr">
        <is>
          <t>All fields</t>
        </is>
      </c>
      <c r="K78" s="7" t="inlineStr">
        <is>
          <t>Partial</t>
        </is>
      </c>
      <c r="L78" s="7" t="inlineStr">
        <is>
          <t>NZ$15,000 tuition fee waiver + 12 weeks accommodation subsidy (Or equivalent living stipend support)</t>
        </is>
      </c>
      <c r="M78" s="7" t="inlineStr">
        <is>
          <t>November</t>
        </is>
      </c>
      <c r="N78" s="7" t="inlineStr">
        <is>
          <t>International students undertaking a 1-year research Master's degree or thesis component of a Master's program.</t>
        </is>
      </c>
      <c r="O78" s="7" t="inlineStr">
        <is>
          <t>Medium: Admission Application + Online Scholarship Portal</t>
        </is>
      </c>
      <c r="P78" s="7" t="inlineStr">
        <is>
          <t>Research Master's Candidates in Wellington</t>
        </is>
      </c>
      <c r="Q78" s="7" t="n"/>
      <c r="R78" s="7" t="n"/>
      <c r="S78" s="7" t="n"/>
      <c r="T78" s="7" t="n"/>
      <c r="U78" s="7" t="n"/>
      <c r="V78" s="7" t="n"/>
      <c r="W78" s="7" t="n"/>
      <c r="X78" s="7" t="n"/>
      <c r="Y78" s="7" t="n"/>
      <c r="Z78" s="7" t="inlineStr">
        <is>
          <t>Research</t>
        </is>
      </c>
      <c r="AA78" s="4" t="n"/>
      <c r="AB78" s="4" t="n"/>
      <c r="AC78" s="7">
        <f>IF(AND(E78&lt;&gt;"",COUNTIF($E$2:$E$800,E78)&gt;1),"DUPLICATE","")</f>
        <v/>
      </c>
    </row>
    <row r="79" ht="129.6" customHeight="1" s="6">
      <c r="A79" s="7" t="inlineStr">
        <is>
          <t>new-zealand-international-doctoral-research-scholarships-nzi</t>
        </is>
      </c>
      <c r="B79" s="7" t="inlineStr">
        <is>
          <t>Open</t>
        </is>
      </c>
      <c r="C79" s="7" t="n"/>
      <c r="D79" s="7" t="inlineStr">
        <is>
          <t>Scholarship</t>
        </is>
      </c>
      <c r="E79" s="7" t="inlineStr">
        <is>
          <t>New Zealand International Doctoral Research Scholarships (NZIDRS) / University Doctoral Scholarships</t>
        </is>
      </c>
      <c r="F79" s="7" t="inlineStr">
        <is>
          <t>New Zealand Government &amp; Universities — Auckland, Otago, Canterbury, etc.</t>
        </is>
      </c>
      <c r="G79" s="7" t="inlineStr">
        <is>
          <t>Oceania</t>
        </is>
      </c>
      <c r="H79" s="7" t="inlineStr">
        <is>
          <t>New Zealand</t>
        </is>
      </c>
      <c r="I79" s="7" t="inlineStr">
        <is>
          <t>PhD</t>
        </is>
      </c>
      <c r="J79" s="7" t="inlineStr">
        <is>
          <t>All fields</t>
        </is>
      </c>
      <c r="K79" s="7" t="inlineStr">
        <is>
          <t>Full</t>
        </is>
      </c>
      <c r="L79" s="7" t="inlineStr">
        <is>
          <t>Full Domestic Tuition Fee Parity + ~NZ$35,000 to NZ$38,000 annual living stipend (For 3 years of PhD study)</t>
        </is>
      </c>
      <c r="M79" s="7" t="inlineStr">
        <is>
          <t>Staggered (University-specific rounds, e.g., Oct, Nov, May)</t>
        </is>
      </c>
      <c r="N79" s="7" t="inlineStr">
        <is>
          <t>International doctoral candidates with outstanding academic records (equivalent to First Class Honours / high GPA).</t>
        </is>
      </c>
      <c r="O79" s="7" t="inlineStr">
        <is>
          <t>Very High: Doctoral Admission Application + Research Proposal + Supervisor Support</t>
        </is>
      </c>
      <c r="P79" s="7" t="inlineStr">
        <is>
          <t>Global Doctoral Researchers Seeking Full New Zealand State Funding</t>
        </is>
      </c>
      <c r="Q79" s="7" t="inlineStr">
        <is>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is>
      </c>
      <c r="R79" s="7" t="inlineStr">
        <is>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is>
      </c>
      <c r="S79" s="7" t="inlineStr">
        <is>
          <t>Academic merit and research track record (50%), Quality and feasibility of the research proposal (30%), Supervisor alignment and university laboratory capacity (20%).</t>
        </is>
      </c>
      <c r="T79" s="7" t="n"/>
      <c r="U79" s="7" t="n"/>
      <c r="V79" s="7" t="inlineStr">
        <is>
          <t>https://www.studyinnewzealand.govt.nz/</t>
        </is>
      </c>
      <c r="W79" s="7" t="n"/>
      <c r="X79" s="7" t="n"/>
      <c r="Y79" s="7" t="n"/>
      <c r="Z79" s="7" t="inlineStr">
        <is>
          <t>Research</t>
        </is>
      </c>
      <c r="AA79" s="4" t="n"/>
      <c r="AB79" s="4" t="n"/>
      <c r="AC79" s="7">
        <f>IF(AND(E79&lt;&gt;"",COUNTIF($E$2:$E$800,E79)&gt;1),"DUPLICATE","")</f>
        <v/>
      </c>
    </row>
    <row r="80" ht="57.6" customHeight="1" s="6">
      <c r="A80" s="7" t="inlineStr">
        <is>
          <t>otago-international-doctoral-scholarship-phd</t>
        </is>
      </c>
      <c r="B80" s="7" t="inlineStr">
        <is>
          <t>Open</t>
        </is>
      </c>
      <c r="C80" s="7" t="n"/>
      <c r="D80" s="7" t="inlineStr">
        <is>
          <t>Scholarship</t>
        </is>
      </c>
      <c r="E80" s="7" t="inlineStr">
        <is>
          <t>Otago International Doctoral Scholarship</t>
        </is>
      </c>
      <c r="F80" s="7" t="inlineStr">
        <is>
          <t>University of Otago</t>
        </is>
      </c>
      <c r="G80" s="7" t="inlineStr">
        <is>
          <t>Oceania</t>
        </is>
      </c>
      <c r="H80" s="7" t="inlineStr">
        <is>
          <t>New Zealand</t>
        </is>
      </c>
      <c r="I80" s="7" t="inlineStr">
        <is>
          <t>PhD</t>
        </is>
      </c>
      <c r="J80" s="7" t="inlineStr">
        <is>
          <t>All fields</t>
        </is>
      </c>
      <c r="K80" s="7" t="inlineStr">
        <is>
          <t>Full</t>
        </is>
      </c>
      <c r="L80" s="7" t="inlineStr">
        <is>
          <t>Full Tuition Fee Waiver + Annual Stipend (~NZ$32,500/yr plus health insurance for 36 months)</t>
        </is>
      </c>
      <c r="M80" s="7" t="inlineStr">
        <is>
          <t>Rolling / Multiple Rounds</t>
        </is>
      </c>
      <c r="N80" s="7" t="inlineStr">
        <is>
          <t>Outstanding international PhD candidates admitted to the University of Otago.</t>
        </is>
      </c>
      <c r="O80" s="7" t="inlineStr">
        <is>
          <t>High: PhD Admission Application + Research Proposal + Faculty Endorsement</t>
        </is>
      </c>
      <c r="P80" s="7" t="inlineStr">
        <is>
          <t>Elite PhD Candidates Targeting Otago</t>
        </is>
      </c>
      <c r="Q80" s="7" t="n"/>
      <c r="R80" s="7" t="n"/>
      <c r="S80" s="7" t="n"/>
      <c r="T80" s="7" t="n"/>
      <c r="U80" s="7" t="n"/>
      <c r="V80" s="7" t="n"/>
      <c r="W80" s="7" t="n"/>
      <c r="X80" s="7" t="n"/>
      <c r="Y80" s="7" t="n"/>
      <c r="Z80" s="7" t="n"/>
      <c r="AA80" s="4" t="n"/>
      <c r="AB80" s="4" t="n"/>
      <c r="AC80" s="7">
        <f>IF(AND(E80&lt;&gt;"",COUNTIF($E$2:$E$800,E80)&gt;1),"DUPLICATE","")</f>
        <v/>
      </c>
    </row>
    <row r="81" ht="43.2" customHeight="1" s="6">
      <c r="A81" s="7" t="inlineStr">
        <is>
          <t>university-of-auckland-doctoral-scholarships-phd</t>
        </is>
      </c>
      <c r="B81" s="7" t="inlineStr">
        <is>
          <t>Open</t>
        </is>
      </c>
      <c r="C81" s="7" t="n"/>
      <c r="D81" s="7" t="inlineStr">
        <is>
          <t>Scholarship</t>
        </is>
      </c>
      <c r="E81" s="7" t="inlineStr">
        <is>
          <t>University of Auckland Doctoral Scholarships</t>
        </is>
      </c>
      <c r="F81" s="7" t="inlineStr">
        <is>
          <t>University of Auckland</t>
        </is>
      </c>
      <c r="G81" s="7" t="inlineStr">
        <is>
          <t>Oceania</t>
        </is>
      </c>
      <c r="H81" s="7" t="inlineStr">
        <is>
          <t>New Zealand</t>
        </is>
      </c>
      <c r="I81" s="7" t="inlineStr">
        <is>
          <t>PhD</t>
        </is>
      </c>
      <c r="J81" s="7" t="inlineStr">
        <is>
          <t>All fields</t>
        </is>
      </c>
      <c r="K81" s="7" t="inlineStr">
        <is>
          <t>Full</t>
        </is>
      </c>
      <c r="L81" s="7" t="inlineStr">
        <is>
          <t>Full Compulsory Tuition Fees + Annual Living Allowance (Comprehensive tax-free stipend + health insurance)</t>
        </is>
      </c>
      <c r="M81" s="7" t="inlineStr">
        <is>
          <t>Staggered rounds</t>
        </is>
      </c>
      <c r="N81" s="7" t="inlineStr">
        <is>
          <t>High-caliber international students undertaking a PhD at the University of Auckland.</t>
        </is>
      </c>
      <c r="O81" s="7" t="inlineStr">
        <is>
          <t>High: Doctoral Admission &amp; Scholarship Portal Application</t>
        </is>
      </c>
      <c r="P81" s="7" t="inlineStr">
        <is>
          <t>Top-Tier PhD Candidates Targeting Auckland</t>
        </is>
      </c>
      <c r="Q81" s="7" t="n"/>
      <c r="R81" s="7" t="n"/>
      <c r="S81" s="7" t="n"/>
      <c r="T81" s="7" t="n"/>
      <c r="U81" s="7" t="n"/>
      <c r="V81" s="7" t="n"/>
      <c r="W81" s="7" t="n"/>
      <c r="X81" s="7" t="n"/>
      <c r="Y81" s="7" t="n"/>
      <c r="Z81" s="7" t="n"/>
      <c r="AA81" s="4" t="n"/>
      <c r="AB81" s="4" t="n"/>
      <c r="AC81" s="7">
        <f>IF(AND(E81&lt;&gt;"",COUNTIF($E$2:$E$800,E81)&gt;1),"DUPLICATE","")</f>
        <v/>
      </c>
    </row>
    <row r="82">
      <c r="A82" t="inlineStr">
        <is>
          <t>iccr-atal-bihari-vajpayee-general-scholarship-bachelor</t>
        </is>
      </c>
      <c r="B82" t="inlineStr">
        <is>
          <t>Open</t>
        </is>
      </c>
      <c r="D82" t="inlineStr">
        <is>
          <t>Scholarship</t>
        </is>
      </c>
      <c r="E82" t="inlineStr">
        <is>
          <t>ICCR Atal Bihari Vajpayee General Scholarship Scheme</t>
        </is>
      </c>
      <c r="F82" t="inlineStr">
        <is>
          <t>Indian Council for Cultural Relations (ICCR) — Govt. of India</t>
        </is>
      </c>
      <c r="G82" t="inlineStr">
        <is>
          <t>Asia</t>
        </is>
      </c>
      <c r="H82" t="inlineStr">
        <is>
          <t>India</t>
        </is>
      </c>
      <c r="I82" t="inlineStr">
        <is>
          <t>Bachelor</t>
        </is>
      </c>
      <c r="J82" t="inlineStr">
        <is>
          <t>All fields</t>
        </is>
      </c>
      <c r="K82" t="inlineStr">
        <is>
          <t>Full</t>
        </is>
      </c>
      <c r="L82" t="inlineStr">
        <is>
          <t>Full Ride (100% Tuition, Hostel Accommodation, ₹18,000/mo Stipend, Annual Contingent Grant, Return Airfare)</t>
        </is>
      </c>
      <c r="M82" t="inlineStr">
        <is>
          <t>Feb 27 – Apr 22 (Annual cycle via A2A Portal)</t>
        </is>
      </c>
      <c r="N82" t="inlineStr">
        <is>
          <t>International students worldwide; age 18–35; high school diploma (10+2) with strong grades (PCM mandatory for B.E./B.Tech); 500-word English essay required.</t>
        </is>
      </c>
      <c r="O82" t="inlineStr">
        <is>
          <t>Medium: Online Application to 5 Empanelled Indian Universities + 500-Word English Essay + Transcripts + Medical Form</t>
        </is>
      </c>
      <c r="P82" t="inlineStr">
        <is>
          <t>International Undergraduates Seeking Fully Funded Degrees at Indian Public Universities</t>
        </is>
      </c>
      <c r="Q82" t="inlineStr">
        <is>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is>
      </c>
      <c r="R82" t="inlineStr">
        <is>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is>
      </c>
      <c r="S82" t="inlineStr">
        <is>
          <t>University Scrutiny of Academic Eligibility across up to 5 Selected Universities → Indian Embassy/High Commission Allocation of Scholarship Slots Based on Merit and Country Quotas.</t>
        </is>
      </c>
      <c r="T82" t="inlineStr">
        <is>
          <t>Disciplined high school graduates who select a balanced list of 5 central/state Indian universities and submit clean, English-translated transcripts early in March.</t>
        </is>
      </c>
      <c r="V82" t="inlineStr">
        <is>
          <t>https://a2ascholarships.iccr.gov.in</t>
        </is>
      </c>
      <c r="Z82" t="inlineStr">
        <is>
          <t>STEM</t>
        </is>
      </c>
      <c r="AA82" s="5" t="n">
        <v>46312</v>
      </c>
      <c r="AB82" s="5" t="n">
        <v>46312</v>
      </c>
      <c r="AC82">
        <f>IF(AND(E82&lt;&gt;"",COUNTIF($E$2:$E$800,E82)&gt;1),"DUPLICATE","")</f>
        <v/>
      </c>
    </row>
    <row r="83">
      <c r="A83" t="inlineStr">
        <is>
          <t>iccr-suborno-jayanti-scholarship-bangladesh-master</t>
        </is>
      </c>
      <c r="B83" t="inlineStr">
        <is>
          <t>Open</t>
        </is>
      </c>
      <c r="D83" t="inlineStr">
        <is>
          <t>Scholarship</t>
        </is>
      </c>
      <c r="E83" t="inlineStr">
        <is>
          <t>ICCR Suborno Jayanti Scholarship Scheme (Bangladesh Track)</t>
        </is>
      </c>
      <c r="F83" t="inlineStr">
        <is>
          <t>Indian Council for Cultural Relations (ICCR) &amp; High Commission of India, Dhaka</t>
        </is>
      </c>
      <c r="G83" t="inlineStr">
        <is>
          <t>Asia</t>
        </is>
      </c>
      <c r="H83" t="inlineStr">
        <is>
          <t>India</t>
        </is>
      </c>
      <c r="I83" t="inlineStr">
        <is>
          <t>Bachelor, Master, PhD</t>
        </is>
      </c>
      <c r="J83" t="inlineStr">
        <is>
          <t>All fields</t>
        </is>
      </c>
      <c r="K83" t="inlineStr">
        <is>
          <t>Full</t>
        </is>
      </c>
      <c r="L83" t="inlineStr">
        <is>
          <t>Full Ride (500 Dedicated Slots: 100% Tuition, Hostel, ₹18,000–₹22,000/mo Stipend, Contingent Grant, Travel)</t>
        </is>
      </c>
      <c r="M83" t="inlineStr">
        <is>
          <t>Feb 27 – Apr 22 (Annual cycle via A2A Portal)</t>
        </is>
      </c>
      <c r="N83" t="inlineStr">
        <is>
          <t>Citizens of Bangladesh; age 18–35 for Bachelor/Master and under 40 for PhD; minimum 60% marks or GPA 3.0+; all non-medical disciplines at Indian public universities.</t>
        </is>
      </c>
      <c r="O83" t="inlineStr">
        <is>
          <t>Medium: A2A Portal Application + 500-Word Essay + SSC/HSC/Bachelor Transcripts + Research Synopsis (for PhD)</t>
        </is>
      </c>
      <c r="P83" t="inlineStr">
        <is>
          <t>Bangladeshi Students Pursuing Bachelor’s, Master’s, or PhDs at Premier Indian Institutes</t>
        </is>
      </c>
      <c r="Q83" t="inlineStr">
        <is>
          <t>Dedicated exclusively to citizens of Bangladesh, the Suborno Jayanti Scholarship Scheme provides 500 fully funded ICCR scholarships each year to study at premier public universities and institutes across India in Engineering, IT, Science, Economics, Humanities, and Performing Arts.</t>
        </is>
      </c>
      <c r="R83" t="inlineStr">
        <is>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is>
      </c>
      <c r="S83" t="inlineStr">
        <is>
          <t>Host University Provisional Admission Confirmation on the A2A Portal → High Commission of India (Dhaka, Chattogram, Rajshahi, Khulna, Sylhet) Final Merit Selection.</t>
        </is>
      </c>
      <c r="T83" t="inlineStr">
        <is>
          <t>Meritorious Bangladeshi students with strong HSC or Bachelor’s GPAs who apply early in February/March and select both top-tier metro and specialized central universities.</t>
        </is>
      </c>
      <c r="V83" t="inlineStr">
        <is>
          <t>https://sjsdhaka.gov.in</t>
        </is>
      </c>
      <c r="Z83" t="inlineStr">
        <is>
          <t>STEM, Research</t>
        </is>
      </c>
      <c r="AA83" s="5" t="n">
        <v>46312</v>
      </c>
      <c r="AB83" s="5" t="n">
        <v>46312</v>
      </c>
      <c r="AC83">
        <f>IF(AND(E83&lt;&gt;"",COUNTIF($E$2:$E$800,E83)&gt;1),"DUPLICATE","")</f>
        <v/>
      </c>
    </row>
    <row r="84">
      <c r="A84" t="inlineStr">
        <is>
          <t>study-in-india-sii-partner-institute-scholarship-bachelor</t>
        </is>
      </c>
      <c r="B84" t="inlineStr">
        <is>
          <t>Open</t>
        </is>
      </c>
      <c r="D84" t="inlineStr">
        <is>
          <t>Scholarship</t>
        </is>
      </c>
      <c r="E84" t="inlineStr">
        <is>
          <t>Study in India (SII) Partner Institute Scholarship</t>
        </is>
      </c>
      <c r="F84" t="inlineStr">
        <is>
          <t>Ministry of Education, Government of India</t>
        </is>
      </c>
      <c r="G84" t="inlineStr">
        <is>
          <t>Asia</t>
        </is>
      </c>
      <c r="H84" t="inlineStr">
        <is>
          <t>India</t>
        </is>
      </c>
      <c r="I84" t="inlineStr">
        <is>
          <t>Bachelor, Master</t>
        </is>
      </c>
      <c r="J84" t="inlineStr">
        <is>
          <t>All fields</t>
        </is>
      </c>
      <c r="K84" t="inlineStr">
        <is>
          <t>Full</t>
        </is>
      </c>
      <c r="L84" t="inlineStr">
        <is>
          <t>Up to 100% Tuition Fee Waiver (G1: 100%, G2: 50%, G3: 25% tuition waiver across 160+ premier Indian institutes)</t>
        </is>
      </c>
      <c r="M84" t="inlineStr">
        <is>
          <t>Apr – Jun (Annual admission &amp; counselling cycle)</t>
        </is>
      </c>
      <c r="N84" t="inlineStr">
        <is>
          <t>International students (including SAARC, ASEAN, Africa, Middle East); strong high school (10+2) or Bachelor’s GPA; admitted via the Study in India portal.</t>
        </is>
      </c>
      <c r="O84" t="inlineStr">
        <is>
          <t>Low–Medium: Single SII Portal Application + Academic Transcripts + Passport Copy</t>
        </is>
      </c>
      <c r="P84" t="inlineStr">
        <is>
          <t>International Students Seeking Direct Tuition Waivers at Top NIRF-Ranked Indian Colleges</t>
        </is>
      </c>
      <c r="Q84" t="inlineStr">
        <is>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is>
      </c>
      <c r="R84" t="inlineStr">
        <is>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is>
      </c>
      <c r="S84" t="inlineStr">
        <is>
          <t>Academic Merit Evaluation &amp; Institute Cutoffs → Centralized SII Counselling &amp; Seat/Tuition Waiver Allocation (G1/G2/G3 tiers).</t>
        </is>
      </c>
      <c r="T84" t="inlineStr">
        <is>
          <t>International applicants from Bangladesh, Nepal, Sri Lanka, and Africa with 75%+ high school or undergraduate marks who complete choice-filling across multiple partner institutes.</t>
        </is>
      </c>
      <c r="V84" t="inlineStr">
        <is>
          <t>https://www.studyinindia.gov.in</t>
        </is>
      </c>
      <c r="Z84" t="inlineStr">
        <is>
          <t>STEM</t>
        </is>
      </c>
      <c r="AA84" s="5" t="n">
        <v>46312</v>
      </c>
      <c r="AB84" s="5" t="n">
        <v>46312</v>
      </c>
      <c r="AC84">
        <f>IF(AND(E84&lt;&gt;"",COUNTIF($E$2:$E$800,E84)&gt;1),"DUPLICATE","")</f>
        <v/>
      </c>
    </row>
    <row r="85">
      <c r="A85" t="inlineStr">
        <is>
          <t>nalanda-university-bimstec-international-scholarship-master</t>
        </is>
      </c>
      <c r="B85" t="inlineStr">
        <is>
          <t>Open</t>
        </is>
      </c>
      <c r="D85" t="inlineStr">
        <is>
          <t>Scholarship</t>
        </is>
      </c>
      <c r="E85" t="inlineStr">
        <is>
          <t>Nalanda University BIMSTEC &amp; International Master’s Scholarships</t>
        </is>
      </c>
      <c r="F85" t="inlineStr">
        <is>
          <t>Nalanda University &amp; Ministry of External Affairs, India</t>
        </is>
      </c>
      <c r="G85" t="inlineStr">
        <is>
          <t>Asia</t>
        </is>
      </c>
      <c r="H85" t="inlineStr">
        <is>
          <t>India</t>
        </is>
      </c>
      <c r="I85" t="inlineStr">
        <is>
          <t>Master</t>
        </is>
      </c>
      <c r="J85" t="inlineStr">
        <is>
          <t>Social Sciences &amp; Humanities, Environment, Water &amp; Energy, Business, Economics &amp; Management</t>
        </is>
      </c>
      <c r="K85" t="inlineStr">
        <is>
          <t>Full</t>
        </is>
      </c>
      <c r="L85" t="inlineStr">
        <is>
          <t>Full Ride (100% Tuition, Admission Fee, On-Campus Residence, Meals, ₹20,000/mo Stipend, Return Airfare)</t>
        </is>
      </c>
      <c r="M85" t="inlineStr">
        <is>
          <t>Mar 18 – May 31 (Annual intake deadline)</t>
        </is>
      </c>
      <c r="N85" t="inlineStr">
        <is>
          <t>Citizens of BIMSTEC nations (Bangladesh, Bhutan, Myanmar, Nepal, Sri Lanka, Thailand) and developing countries; Bachelor’s degree with minimum 55% or 2.8+ GPA.</t>
        </is>
      </c>
      <c r="O85" t="inlineStr">
        <is>
          <t>Medium: Online University Application + Statement of Purpose + Academic Transcripts + Online Interview</t>
        </is>
      </c>
      <c r="P85" t="inlineStr">
        <is>
          <t>South &amp; Southeast Asian Graduates in Ecology, International Relations, Sustainable MBA &amp; Humanities</t>
        </is>
      </c>
      <c r="Q85" t="inlineStr">
        <is>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is>
      </c>
      <c r="R85" t="inlineStr">
        <is>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is>
      </c>
      <c r="S85" t="inlineStr">
        <is>
          <t>Application &amp; SOP Screening by School Faculty → Online Admission &amp; Scholarship Panel Interview → Ministry/University Scholarship Allocation.</t>
        </is>
      </c>
      <c r="T85" t="inlineStr">
        <is>
          <t>Graduates from Bangladesh, Bhutan, Nepal, and Southeast Asia passionate about environmental sustainability, Asian diplomacy, or heritage studies.</t>
        </is>
      </c>
      <c r="V85" t="inlineStr">
        <is>
          <t>https://nalandauniv.edu.in/scholarship-info/</t>
        </is>
      </c>
      <c r="AA85" s="5" t="n">
        <v>46312</v>
      </c>
      <c r="AB85" s="5" t="n">
        <v>46312</v>
      </c>
      <c r="AC85">
        <f>IF(AND(E85&lt;&gt;"",COUNTIF($E$2:$E$800,E85)&gt;1),"DUPLICATE","")</f>
        <v/>
      </c>
    </row>
    <row r="86">
      <c r="A86" t="inlineStr">
        <is>
          <t>prime-minister-s-research-fellowship-pmrf-india-phd</t>
        </is>
      </c>
      <c r="B86" t="inlineStr">
        <is>
          <t>Open</t>
        </is>
      </c>
      <c r="D86" t="inlineStr">
        <is>
          <t>Scholarship</t>
        </is>
      </c>
      <c r="E86" t="inlineStr">
        <is>
          <t>Prime Minister’s Research Fellowship (PMRF)</t>
        </is>
      </c>
      <c r="F86" t="inlineStr">
        <is>
          <t>Ministry of Education, Government of India (IITs, IISc, IISERs, NITs)</t>
        </is>
      </c>
      <c r="G86" t="inlineStr">
        <is>
          <t>Asia</t>
        </is>
      </c>
      <c r="H86" t="inlineStr">
        <is>
          <t>India</t>
        </is>
      </c>
      <c r="I86" t="inlineStr">
        <is>
          <t>PhD</t>
        </is>
      </c>
      <c r="J86" t="inlineStr">
        <is>
          <t>Engineering &amp; Technology, Computer Science, Data &amp; AI, Mathematics &amp; Natural Sciences</t>
        </is>
      </c>
      <c r="K86" t="inlineStr">
        <is>
          <t>Full</t>
        </is>
      </c>
      <c r="L86" t="inlineStr">
        <is>
          <t>Full Ride + Elite Stipend (₹70,000–₹80,000/mo Fellowship + ₹2,00,000/yr Research Contingency Grant for 4–5 years)</t>
        </is>
      </c>
      <c r="M86" t="inlineStr">
        <is>
          <t>May / Dec (Aligned with Direct &amp; Lateral Entry PhD cycles)</t>
        </is>
      </c>
      <c r="N86" t="inlineStr">
        <is>
          <t>Final-year B.Tech/Integrated M.Sc. or M.Tech graduates in India with CGPA ≥ 8.0 (or GATE ≥ 650) pursuing a PhD in STEM at IITs, IISc, IISERs, or central universities.</t>
        </is>
      </c>
      <c r="O86" t="inlineStr">
        <is>
          <t>Very High: PhD Admission at PMRF Granting Institute + Rigorous Research Proposal + Technical Panel Interview</t>
        </is>
      </c>
      <c r="P86" t="inlineStr">
        <is>
          <t>Top-Tier Indian STEM Graduates Pursuing Doctoral Research at IITs &amp; IISc</t>
        </is>
      </c>
      <c r="Q86" t="inlineStr">
        <is>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is>
      </c>
      <c r="R86" t="inlineStr">
        <is>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is>
      </c>
      <c r="S86" t="inlineStr">
        <is>
          <t>Host Institute Nodal Screening &amp; Nomination → National Subject-Panel Evaluation of Research Proposal, Prior Technical Output, and Live Technical Interview.</t>
        </is>
      </c>
      <c r="T86" t="inlineStr">
        <is>
          <t>IIT, NIT, and IISER graduates with 8.5+ CGPA, prior IEEE/ACM/science publications, and a well-defined deep-tech or fundamental science research problem.</t>
        </is>
      </c>
      <c r="V86" t="inlineStr">
        <is>
          <t>https://www.pmrf.in</t>
        </is>
      </c>
      <c r="Z86" t="inlineStr">
        <is>
          <t>STEM, Research</t>
        </is>
      </c>
      <c r="AA86" s="5" t="n">
        <v>46312</v>
      </c>
      <c r="AB86" s="5" t="n">
        <v>46312</v>
      </c>
      <c r="AC86">
        <f>IF(AND(E86&lt;&gt;"",COUNTIF($E$2:$E$800,E86)&gt;1),"DUPLICATE","")</f>
        <v/>
      </c>
    </row>
    <row r="87">
      <c r="A87" t="inlineStr">
        <is>
          <t>reliance-foundation-undergraduate-postgraduate-scholarship</t>
        </is>
      </c>
      <c r="B87" t="inlineStr">
        <is>
          <t>Open</t>
        </is>
      </c>
      <c r="D87" t="inlineStr">
        <is>
          <t>Scholarship</t>
        </is>
      </c>
      <c r="E87" t="inlineStr">
        <is>
          <t>Reliance Foundation Undergraduate &amp; Postgraduate Scholarships</t>
        </is>
      </c>
      <c r="F87" t="inlineStr">
        <is>
          <t>Reliance Foundation — India</t>
        </is>
      </c>
      <c r="G87" t="inlineStr">
        <is>
          <t>Asia</t>
        </is>
      </c>
      <c r="H87" t="inlineStr">
        <is>
          <t>India</t>
        </is>
      </c>
      <c r="I87" t="inlineStr">
        <is>
          <t>Bachelor, Master</t>
        </is>
      </c>
      <c r="J87" t="inlineStr">
        <is>
          <t>Engineering &amp; Technology, Computer Science, Data &amp; AI, Mathematics &amp; Natural Sciences, All fields</t>
        </is>
      </c>
      <c r="K87" t="inlineStr">
        <is>
          <t>Partial</t>
        </is>
      </c>
      <c r="L87" t="inlineStr">
        <is>
          <t>Up to ₹2,00,000 (Undergrad) or ₹6,00,000 (Postgrad in AI, CS, Renewables &amp; Life Sciences) + Alumni Network</t>
        </is>
      </c>
      <c r="M87" t="inlineStr">
        <is>
          <t>Oct 6 – Dec 15 (Annual cycle)</t>
        </is>
      </c>
      <c r="N87" t="inlineStr">
        <is>
          <t>Resident Indian citizens enrolled in Year 1 of any undergraduate degree (household income &lt; ₹15 Lakh) or postgraduate STEM/AI degree with top entrance ranks.</t>
        </is>
      </c>
      <c r="O87" t="inlineStr">
        <is>
          <t>Medium: Online Aptitude Test + Personal &amp; Leadership Essays + 2 Reference Letters + Income Proof</t>
        </is>
      </c>
      <c r="P87" t="inlineStr">
        <is>
          <t>First-Year Indian Undergraduate &amp; Postgraduate Students in AI, Engineering &amp; General Degrees</t>
        </is>
      </c>
      <c r="Q87" t="inlineStr">
        <is>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is>
      </c>
      <c r="R87" t="inlineStr">
        <is>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is>
      </c>
      <c r="S87" t="inlineStr">
        <is>
          <t>Aptitude Test Score &amp; Academic Merit (60%), Financial Need Assessment for UG / Research &amp; Leadership Essays for PG (40%).</t>
        </is>
      </c>
      <c r="T87" t="inlineStr">
        <is>
          <t>High-scoring first-year Indian college students from modest socio-economic backgrounds and top GATE/CGPA graduates entering M.Tech/M.Sc. in AI or Clean Energy.</t>
        </is>
      </c>
      <c r="V87" t="inlineStr">
        <is>
          <t>https://www.scholarships.reliancefoundation.org</t>
        </is>
      </c>
      <c r="Z87" t="inlineStr">
        <is>
          <t>STEM, Need-based</t>
        </is>
      </c>
      <c r="AA87" s="5" t="n">
        <v>46312</v>
      </c>
      <c r="AB87" s="5" t="n">
        <v>46312</v>
      </c>
      <c r="AC87">
        <f>IF(AND(E87&lt;&gt;"",COUNTIF($E$2:$E$800,E87)&gt;1),"DUPLICATE","")</f>
        <v/>
      </c>
    </row>
    <row r="88">
      <c r="A88" t="inlineStr">
        <is>
          <t>inlaks-shivdasani-foundation-overseas-scholarship-master</t>
        </is>
      </c>
      <c r="B88" t="inlineStr">
        <is>
          <t>Open</t>
        </is>
      </c>
      <c r="D88" t="inlineStr">
        <is>
          <t>Scholarship</t>
        </is>
      </c>
      <c r="E88" t="inlineStr">
        <is>
          <t>Inlaks Shivdasani Foundation Overseas Scholarship</t>
        </is>
      </c>
      <c r="F88" t="inlineStr">
        <is>
          <t>Inlaks Shivdasani Foundation — India</t>
        </is>
      </c>
      <c r="G88" t="inlineStr">
        <is>
          <t>Asia</t>
        </is>
      </c>
      <c r="H88" t="inlineStr">
        <is>
          <t>United Kingdom, United States</t>
        </is>
      </c>
      <c r="I88" t="inlineStr">
        <is>
          <t>Master</t>
        </is>
      </c>
      <c r="J88" t="inlineStr">
        <is>
          <t>All fields</t>
        </is>
      </c>
      <c r="K88" t="inlineStr">
        <is>
          <t>Full</t>
        </is>
      </c>
      <c r="L88" t="inlineStr">
        <is>
          <t>Up to USD 120,000 (Covers Full Tuition, Living Stipend, One-Way Airfare, Visa Fees &amp; Health Allowance)</t>
        </is>
      </c>
      <c r="M88" t="inlineStr">
        <is>
          <t>Mar 31 (Closes 12:00 PM IST annually)</t>
        </is>
      </c>
      <c r="N88" t="inlineStr">
        <is>
          <t>Indian citizens resident in India; age under 30; holding an unconditional/conditional Master’s admission offer from a top-tier university in the UK, Europe, or USA.</t>
        </is>
      </c>
      <c r="O88" t="inlineStr">
        <is>
          <t>High: Confirmed Overseas Admission Offer + Portfolio/SOP + 2 Reference Letters + 2-Stage Mumbai Interviews</t>
        </is>
      </c>
      <c r="P88" t="inlineStr">
        <is>
          <t>Exceptional Young Indian Graduates Admitted to Top US, UK &amp; European Universities</t>
        </is>
      </c>
      <c r="Q88" t="inlineStr">
        <is>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is>
      </c>
      <c r="R88" t="inlineStr">
        <is>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is>
      </c>
      <c r="S88" t="inlineStr">
        <is>
          <t>Application &amp; Admission Offer Review in April → Online Preliminary Interview in May → Final In-Person Panel Interview in Mumbai.</t>
        </is>
      </c>
      <c r="T88" t="inlineStr">
        <is>
          <t>Well-rounded Indian graduates with admission to Oxford, Cambridge, LSE, Columbia, or top European conservatories/universities who demonstrate originality and social commitment.</t>
        </is>
      </c>
      <c r="V88" t="inlineStr">
        <is>
          <t>https://www.inlaksfoundation.org/scholarships/</t>
        </is>
      </c>
      <c r="AA88" s="5" t="n">
        <v>46312</v>
      </c>
      <c r="AB88" s="5" t="n">
        <v>46312</v>
      </c>
      <c r="AC88">
        <f>IF(AND(E88&lt;&gt;"",COUNTIF($E$2:$E$800,E88)&gt;1),"DUPLICATE","")</f>
        <v/>
      </c>
    </row>
    <row r="89">
      <c r="A89" t="inlineStr">
        <is>
          <t>jn-tata-endowment-higher-education-loan-scholarship-master</t>
        </is>
      </c>
      <c r="B89" t="inlineStr">
        <is>
          <t>Open</t>
        </is>
      </c>
      <c r="D89" t="inlineStr">
        <is>
          <t>Scholarship</t>
        </is>
      </c>
      <c r="E89" t="inlineStr">
        <is>
          <t>J.N. Tata Endowment for the Higher Education of Indians</t>
        </is>
      </c>
      <c r="F89" t="inlineStr">
        <is>
          <t>Tata Trusts — India</t>
        </is>
      </c>
      <c r="G89" t="inlineStr">
        <is>
          <t>Asia</t>
        </is>
      </c>
      <c r="H89" t="inlineStr">
        <is>
          <t>United States, United Kingdom, Germany</t>
        </is>
      </c>
      <c r="I89" t="inlineStr">
        <is>
          <t>Master, PhD</t>
        </is>
      </c>
      <c r="J89" t="inlineStr">
        <is>
          <t>All fields</t>
        </is>
      </c>
      <c r="K89" t="inlineStr">
        <is>
          <t>Partial</t>
        </is>
      </c>
      <c r="L89" t="inlineStr">
        <is>
          <t>₹1,00,000 to ₹10,00,000 Low-Interest Loan Scholarship + Up to ₹7,50,000 Gift Award &amp; ₹50,000 Travel Grant</t>
        </is>
      </c>
      <c r="M89" t="inlineStr">
        <is>
          <t>Mar 15 – Mar 23 (Annual spring application window)</t>
        </is>
      </c>
      <c r="N89" t="inlineStr">
        <is>
          <t>Indian citizens holding a Bachelor’s degree with minimum 60% marks; admitted to or applying for a recognized postgraduate/PhD program overseas.</t>
        </is>
      </c>
      <c r="O89" t="inlineStr">
        <is>
          <t>High: Statement of Purpose + Online Cognitive/Thinking Assessment + Technical Subject Interview</t>
        </is>
      </c>
      <c r="P89" t="inlineStr">
        <is>
          <t>Indian Graduates Pursuing Master’s or PhDs Abroad Needing Flexible Funding</t>
        </is>
      </c>
      <c r="Q89" t="inlineStr">
        <is>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is>
      </c>
      <c r="R89" t="inlineStr">
        <is>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is>
      </c>
      <c r="S89" t="inlineStr">
        <is>
          <t>Phase 1 Academic &amp; SOP Screening → Phase 2 Online Cognitive Test → Phase 3 Technical Subject-Matter Expert Interview (April–June).</t>
        </is>
      </c>
      <c r="T89" t="inlineStr">
        <is>
          <t>Ambitious Indian engineers, scientists, lawyers, and policy scholars admitted to top-50 global universities who perform strongly in the technical subject interview.</t>
        </is>
      </c>
      <c r="V89" t="inlineStr">
        <is>
          <t>https://www.jntataendowment.org</t>
        </is>
      </c>
      <c r="AA89" s="5" t="n">
        <v>46312</v>
      </c>
      <c r="AB89" s="5" t="n">
        <v>46312</v>
      </c>
      <c r="AC89">
        <f>IF(AND(E89&lt;&gt;"",COUNTIF($E$2:$E$800,E89)&gt;1),"DUPLICATE","")</f>
        <v/>
      </c>
    </row>
    <row r="90">
      <c r="A90" t="inlineStr">
        <is>
          <t>asian-university-for-women-auw-scholarship-bachelor</t>
        </is>
      </c>
      <c r="B90" t="inlineStr">
        <is>
          <t>Open</t>
        </is>
      </c>
      <c r="D90" t="inlineStr">
        <is>
          <t>Scholarship</t>
        </is>
      </c>
      <c r="E90" t="inlineStr">
        <is>
          <t>Asian University for Women (AUW) Undergraduate Scholarships</t>
        </is>
      </c>
      <c r="F90" t="inlineStr">
        <is>
          <t>Asian University for Women — Chittagong, Bangladesh</t>
        </is>
      </c>
      <c r="G90" t="inlineStr">
        <is>
          <t>Asia</t>
        </is>
      </c>
      <c r="H90" t="inlineStr">
        <is>
          <t>Bangladesh</t>
        </is>
      </c>
      <c r="I90" t="inlineStr">
        <is>
          <t>Bachelor</t>
        </is>
      </c>
      <c r="J90" t="inlineStr">
        <is>
          <t>All fields</t>
        </is>
      </c>
      <c r="K90" t="inlineStr">
        <is>
          <t>Full</t>
        </is>
      </c>
      <c r="L90" t="inlineStr">
        <is>
          <t>Full Ride (100% Tuition, On-Campus Room &amp; Board, Healthcare, Course Supplies, Return Graduation Airfare)</t>
        </is>
      </c>
      <c r="M90" t="inlineStr">
        <is>
          <t>Mar – May (Rolling deadlines for Fall/Summer intakes)</t>
        </is>
      </c>
      <c r="N90" t="inlineStr">
        <is>
          <t>Female applicants from Bangladesh and across South/Southeast Asia &amp; the Middle East; strong secondary school record; demonstrated financial need; non-transfer students.</t>
        </is>
      </c>
      <c r="O90" t="inlineStr">
        <is>
          <t>Medium: Admission Application + Self-Assessment Financial Aid Form + Family Income Proofs + Written/Interview Assessment</t>
        </is>
      </c>
      <c r="P90" t="inlineStr">
        <is>
          <t>Talented Young Women from Bangladesh &amp; Asia Seeking Liberal Arts or STEM Degrees</t>
        </is>
      </c>
      <c r="Q90" t="inlineStr">
        <is>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is>
      </c>
      <c r="R90" t="inlineStr">
        <is>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is>
      </c>
      <c r="S90" t="inlineStr">
        <is>
          <t>Academic Readiness Review (Direct Undergraduate vs. Pathways for Promise Access Academy) + Written English/Math Assessment + Financial Aid Committee Need Verification.</t>
        </is>
      </c>
      <c r="T90" t="inlineStr">
        <is>
          <t>First-generation and low-to-middle-income female high school graduates from Bangladesh, Pakistan, India, Afghanistan, Myanmar, and Nepal with strong leadership drive.</t>
        </is>
      </c>
      <c r="V90" t="inlineStr">
        <is>
          <t>https://asian-university.org/admissions/financial-aid/</t>
        </is>
      </c>
      <c r="Z90" t="inlineStr">
        <is>
          <t>Women, Need-based</t>
        </is>
      </c>
      <c r="AA90" s="5" t="n">
        <v>46312</v>
      </c>
      <c r="AB90" s="5" t="n">
        <v>46312</v>
      </c>
      <c r="AC90">
        <f>IF(AND(E90&lt;&gt;"",COUNTIF($E$2:$E$800,E90)&gt;1),"DUPLICATE","")</f>
        <v/>
      </c>
    </row>
    <row r="91">
      <c r="A91" t="inlineStr">
        <is>
          <t>iut-oic-full-partial-scholarships-bangladesh-bachelor</t>
        </is>
      </c>
      <c r="B91" t="inlineStr">
        <is>
          <t>Open</t>
        </is>
      </c>
      <c r="D91" t="inlineStr">
        <is>
          <t>Scholarship</t>
        </is>
      </c>
      <c r="E91" t="inlineStr">
        <is>
          <t>IUT OIC Full &amp; Partial Scholarships (Bachelor’s Track)</t>
        </is>
      </c>
      <c r="F91" t="inlineStr">
        <is>
          <t>Islamic University of Technology (IUT) &amp; Organisation of Islamic Cooperation</t>
        </is>
      </c>
      <c r="G91" t="inlineStr">
        <is>
          <t>Asia</t>
        </is>
      </c>
      <c r="H91" t="inlineStr">
        <is>
          <t>Bangladesh</t>
        </is>
      </c>
      <c r="I91" t="inlineStr">
        <is>
          <t>Bachelor</t>
        </is>
      </c>
      <c r="J91" t="inlineStr">
        <is>
          <t>Engineering &amp; Technology, Computer Science, Data &amp; AI</t>
        </is>
      </c>
      <c r="K91" t="inlineStr">
        <is>
          <t>Full</t>
        </is>
      </c>
      <c r="L91" t="inlineStr">
        <is>
          <t>Full Ride (100% Tuition, Campus Dormitory, Monthly Pocket Allowance, Medical Care, Books &amp; Return Airfare)</t>
        </is>
      </c>
      <c r="M91" t="inlineStr">
        <is>
          <t>Feb – Apr (Annual admission &amp; OIC Focal Point nomination window)</t>
        </is>
      </c>
      <c r="N91" t="inlineStr">
        <is>
          <t>Citizens of Bangladesh and 57 OIC member states; High School (HSC / A-Level) in Physics, Chemistry &amp; Mathematics with strong grades; passes IUT admission/nomination.</t>
        </is>
      </c>
      <c r="O91" t="inlineStr">
        <is>
          <t>High: Competitive Engineering Entrance Test (Host Country) or OIC Ministry Nomination (International)</t>
        </is>
      </c>
      <c r="P91" t="inlineStr">
        <is>
          <t>Top Engineering &amp; CS High School Graduates from Bangladesh and OIC Countries</t>
        </is>
      </c>
      <c r="Q91" t="inlineStr">
        <is>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is>
      </c>
      <c r="R91" t="inlineStr">
        <is>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is>
      </c>
      <c r="S91" t="inlineStr">
        <is>
          <t>Combined Engineering Admission Test Merit Rank (for Bangladeshi host-country slots) or OIC Member State Demographic Quota &amp; Academic Screening (for international slots).</t>
        </is>
      </c>
      <c r="T91" t="inlineStr">
        <is>
          <t>High-scoring HSC/A-Level science students in Bangladesh and OIC member states with exceptional math and physics scores.</t>
        </is>
      </c>
      <c r="V91" t="inlineStr">
        <is>
          <t>https://admission.iutoic-dhaka.edu/information/scholarship</t>
        </is>
      </c>
      <c r="Z91" t="inlineStr">
        <is>
          <t>STEM</t>
        </is>
      </c>
      <c r="AA91" s="5" t="n">
        <v>46312</v>
      </c>
      <c r="AB91" s="5" t="n">
        <v>46312</v>
      </c>
      <c r="AC91">
        <f>IF(AND(E91&lt;&gt;"",COUNTIF($E$2:$E$800,E91)&gt;1),"DUPLICATE","")</f>
        <v/>
      </c>
    </row>
    <row r="92">
      <c r="A92" t="inlineStr">
        <is>
          <t>bangladesh-government-mbbs-bds-scholarship-bachelor</t>
        </is>
      </c>
      <c r="B92" t="inlineStr">
        <is>
          <t>Open</t>
        </is>
      </c>
      <c r="D92" t="inlineStr">
        <is>
          <t>Scholarship</t>
        </is>
      </c>
      <c r="E92" t="inlineStr">
        <is>
          <t>Bangladesh Government MBBS &amp; BDS Scholarships for Foreign Students</t>
        </is>
      </c>
      <c r="F92" t="inlineStr">
        <is>
          <t>Ministry of Education &amp; Ministry of Foreign Affairs, Bangladesh</t>
        </is>
      </c>
      <c r="G92" t="inlineStr">
        <is>
          <t>Asia</t>
        </is>
      </c>
      <c r="H92" t="inlineStr">
        <is>
          <t>Bangladesh</t>
        </is>
      </c>
      <c r="I92" t="inlineStr">
        <is>
          <t>Bachelor</t>
        </is>
      </c>
      <c r="J92" t="inlineStr">
        <is>
          <t>Health &amp; Life Sciences</t>
        </is>
      </c>
      <c r="K92" t="inlineStr">
        <is>
          <t>Full</t>
        </is>
      </c>
      <c r="L92" t="inlineStr">
        <is>
          <t>Full Public Medical Tuition Waiver + Free Hostel Seat + Monthly Living Stipend at Government Medical Colleges</t>
        </is>
      </c>
      <c r="M92" t="inlineStr">
        <is>
          <t>Jan – Feb 22 (Annual online portal &amp; embassy submission)</t>
        </is>
      </c>
      <c r="N92" t="inlineStr">
        <is>
          <t>International students from SAARC and developing partner countries (outside Bangladesh); High School/A-Level with Biology, Chemistry &amp; Physics (minimum GPA 3.5–4.0).</t>
        </is>
      </c>
      <c r="O92" t="inlineStr">
        <is>
          <t>Medium: Online DGME Application + Apostilled/Attested SSC &amp; HSC Equivalency Transcripts + Embassy Submission</t>
        </is>
      </c>
      <c r="P92" t="inlineStr">
        <is>
          <t>International Pre-Med Students (SAARC &amp; Developing Nations) Seeking Public MBBS/BDS Degrees</t>
        </is>
      </c>
      <c r="Q92" t="inlineStr">
        <is>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is>
      </c>
      <c r="R92" t="inlineStr">
        <is>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is>
      </c>
      <c r="S92" t="inlineStr">
        <is>
          <t>Equivalency Calculation of Grade 10 &amp; Grade 12 Biology/Science GPA by DGME Dhaka → Country-Quota Merit Allocation by the Central Scholarship Committee.</t>
        </is>
      </c>
      <c r="T92" t="inlineStr">
        <is>
          <t>High-GPA pre-medical students from Nepal, Bhutan, India, Palestine, and African nations who complete document attestation at their local Bangladesh Mission before February.</t>
        </is>
      </c>
      <c r="V92" t="inlineStr">
        <is>
          <t>https://www.dgme.gov.bd</t>
        </is>
      </c>
      <c r="AA92" s="5" t="n">
        <v>46312</v>
      </c>
      <c r="AB92" s="5" t="n">
        <v>46312</v>
      </c>
      <c r="AC92">
        <f>IF(AND(E92&lt;&gt;"",COUNTIF($E$2:$E$800,E92)&gt;1),"DUPLICATE","")</f>
        <v/>
      </c>
    </row>
    <row r="93">
      <c r="A93" t="inlineStr">
        <is>
          <t>iut-oic-postgraduate-scholarships-bangladesh-master-phd</t>
        </is>
      </c>
      <c r="B93" t="inlineStr">
        <is>
          <t>Open</t>
        </is>
      </c>
      <c r="D93" t="inlineStr">
        <is>
          <t>Scholarship</t>
        </is>
      </c>
      <c r="E93" t="inlineStr">
        <is>
          <t>IUT OIC Postgraduate Scholarships (M.Sc. &amp; PhD Track)</t>
        </is>
      </c>
      <c r="F93" t="inlineStr">
        <is>
          <t>Islamic University of Technology (IUT) — Gazipur, Bangladesh</t>
        </is>
      </c>
      <c r="G93" t="inlineStr">
        <is>
          <t>Asia</t>
        </is>
      </c>
      <c r="H93" t="inlineStr">
        <is>
          <t>Bangladesh</t>
        </is>
      </c>
      <c r="I93" t="inlineStr">
        <is>
          <t>Master, PhD</t>
        </is>
      </c>
      <c r="J93" t="inlineStr">
        <is>
          <t>Engineering &amp; Technology, Computer Science, Data &amp; AI, Education</t>
        </is>
      </c>
      <c r="K93" t="inlineStr">
        <is>
          <t>Full</t>
        </is>
      </c>
      <c r="L93" t="inlineStr">
        <is>
          <t>Full Tuition Waiver + Residential &amp; Research Support (Full OIC Scholarship for M.Sc./PhD in Technical Education &amp; Engineering)</t>
        </is>
      </c>
      <c r="M93" t="inlineStr">
        <is>
          <t>Feb – Apr (Annual 2026/2027 postgraduate call)</t>
        </is>
      </c>
      <c r="N93" t="inlineStr">
        <is>
          <t>Citizens of Bangladesh and OIC member states holding a B.Sc. (for Master’s) or M.Sc. (for PhD) in Engineering, Computer Science, or Technical Education.</t>
        </is>
      </c>
      <c r="O93" t="inlineStr">
        <is>
          <t>Medium–High: Online Application + Statement of Motivation + CV + 2 Reference Letters + English Proficiency</t>
        </is>
      </c>
      <c r="P93" t="inlineStr">
        <is>
          <t>Engineering &amp; Technical Education Graduates from Bangladesh and OIC Nations</t>
        </is>
      </c>
      <c r="Q93" t="inlineStr">
        <is>
          <t>The Islamic University of Technology (IUT) in Gazipur offers full OIC scholarships and 100% departmental tuition waivers for Master’s and Doctoral candidates in Civil, Mechanical, Electrical, Computer Science, Chemical Engineering, and Technical &amp; Vocational Education (TVE).</t>
        </is>
      </c>
      <c r="R93" t="inlineStr">
        <is>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is>
      </c>
      <c r="S93" t="inlineStr">
        <is>
          <t>Departmental Academic Committee Review of GPA, Research Alignment, and OIC Member State Representation.</t>
        </is>
      </c>
      <c r="T93" t="inlineStr">
        <is>
          <t>B.Sc. and M.Sc. engineering graduates and junior university faculty from Bangladesh and OIC countries seeking English-medium postgraduate research.</t>
        </is>
      </c>
      <c r="V93" t="inlineStr">
        <is>
          <t>https://admission.iutoic-dhaka.edu/international-students/general-information</t>
        </is>
      </c>
      <c r="Z93" t="inlineStr">
        <is>
          <t>STEM, Research</t>
        </is>
      </c>
      <c r="AA93" s="5" t="n">
        <v>46312</v>
      </c>
      <c r="AB93" s="5" t="n">
        <v>46312</v>
      </c>
      <c r="AC93">
        <f>IF(AND(E93&lt;&gt;"",COUNTIF($E$2:$E$800,E93)&gt;1),"DUPLICATE","")</f>
        <v/>
      </c>
    </row>
    <row r="94">
      <c r="A94" t="inlineStr">
        <is>
          <t>prime-minister-s-fellowship-bangladesh-master-phd</t>
        </is>
      </c>
      <c r="B94" t="inlineStr">
        <is>
          <t>Open</t>
        </is>
      </c>
      <c r="D94" t="inlineStr">
        <is>
          <t>Scholarship</t>
        </is>
      </c>
      <c r="E94" t="inlineStr">
        <is>
          <t>Prime Minister’s Fellowship Bangladesh (Master’s &amp; PhD Track)</t>
        </is>
      </c>
      <c r="F94" t="inlineStr">
        <is>
          <t>Governance Innovation Unit (GIU), Prime Minister’s Office — Bangladesh</t>
        </is>
      </c>
      <c r="G94" t="inlineStr">
        <is>
          <t>Asia</t>
        </is>
      </c>
      <c r="H94" t="inlineStr">
        <is>
          <t>United Kingdom, United States, Australia</t>
        </is>
      </c>
      <c r="I94" t="inlineStr">
        <is>
          <t>Master, PhD</t>
        </is>
      </c>
      <c r="J94" t="inlineStr">
        <is>
          <t>All fields</t>
        </is>
      </c>
      <c r="K94" t="inlineStr">
        <is>
          <t>Full</t>
        </is>
      </c>
      <c r="L94" t="inlineStr">
        <is>
          <t>Full Ride Overseas (100% Tuition at Global Top-100/300 Universities, Living Stipend, Airfare, Health Insurance)</t>
        </is>
      </c>
      <c r="M94" t="inlineStr">
        <is>
          <t>Mar – May (Annual call by GIU Bangladesh)</t>
        </is>
      </c>
      <c r="N94" t="inlineStr">
        <is>
          <t>Bangladeshi citizens (BCS Cadre, Non-Cadre Govt. Officials, and Open/Private Sector Track); unconditional admission offer from a global top-ranked university; IELTS ≥ 6.5.</t>
        </is>
      </c>
      <c r="O94" t="inlineStr">
        <is>
          <t>Very High: Unconditional Offer from Top-100/300 Global Univ + National Development Essay + IELTS 6.5+ + Viva</t>
        </is>
      </c>
      <c r="P94" t="inlineStr">
        <is>
          <t>Bangladeshi Professionals, Academics &amp; Civil Servants Admitted to Top Global Universities</t>
        </is>
      </c>
      <c r="Q94" t="inlineStr">
        <is>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is>
      </c>
      <c r="R94" t="inlineStr">
        <is>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is>
      </c>
      <c r="S94" t="inlineStr">
        <is>
          <t>University Global Ranking Score + Academic Track Record + Alignment with National Development Goals + High-Level Oral Viva in Dhaka.</t>
        </is>
      </c>
      <c r="T94" t="inlineStr">
        <is>
          <t>Bangladeshi development practitioners, university lecturers, engineers, and civil servants holding unconditional offers from top UK, US, Australian, or European universities.</t>
        </is>
      </c>
      <c r="V94" t="inlineStr">
        <is>
          <t>https://pmfellowship.pmo.gov.bd</t>
        </is>
      </c>
      <c r="Z94" t="inlineStr">
        <is>
          <t>Work experience, Research</t>
        </is>
      </c>
      <c r="AA94" s="5" t="n">
        <v>46312</v>
      </c>
      <c r="AB94" s="5" t="n">
        <v>46312</v>
      </c>
      <c r="AC94">
        <f>IF(AND(E94&lt;&gt;"",COUNTIF($E$2:$E$800,E94)&gt;1),"DUPLICATE","")</f>
        <v/>
      </c>
    </row>
    <row r="95">
      <c r="A95" t="inlineStr">
        <is>
          <t>bangabandhu-science-technology-nst-fellowship-bangladesh-phd</t>
        </is>
      </c>
      <c r="B95" t="inlineStr">
        <is>
          <t>Open</t>
        </is>
      </c>
      <c r="D95" t="inlineStr">
        <is>
          <t>Scholarship</t>
        </is>
      </c>
      <c r="E95" t="inlineStr">
        <is>
          <t>Bangabandhu Science &amp; Technology Fellowship (BSTFT) / NST Fellowship</t>
        </is>
      </c>
      <c r="F95" t="inlineStr">
        <is>
          <t>Ministry of Science and Technology, Government of Bangladesh</t>
        </is>
      </c>
      <c r="G95" t="inlineStr">
        <is>
          <t>Asia</t>
        </is>
      </c>
      <c r="H95" t="inlineStr">
        <is>
          <t>Bangladesh</t>
        </is>
      </c>
      <c r="I95" t="inlineStr">
        <is>
          <t>Master, PhD</t>
        </is>
      </c>
      <c r="J95" t="inlineStr">
        <is>
          <t>Engineering &amp; Technology, Mathematics &amp; Natural Sciences, Health &amp; Life Sciences, Agriculture &amp; Food Security</t>
        </is>
      </c>
      <c r="K95" t="inlineStr">
        <is>
          <t>Full</t>
        </is>
      </c>
      <c r="L95" t="inlineStr">
        <is>
          <t>Full Domestic &amp; Overseas Research Grants (Monthly M.S./M.Phil/PhD Stipend + Full Tuition &amp; Thesis Grant)</t>
        </is>
      </c>
      <c r="M95" t="inlineStr">
        <is>
          <t>Apr – Jun (NST Domestic) / Sep – Nov (Doctoral Grants)</t>
        </is>
      </c>
      <c r="N95" t="inlineStr">
        <is>
          <t>Bangladeshi citizens enrolled in M.S., M.Phil, or PhD programs in Science, Engineering, Agriculture, or Biological/Medical Sciences at public universities in Bangladesh or abroad.</t>
        </is>
      </c>
      <c r="O95" t="inlineStr">
        <is>
          <t>Medium–High: Supervisor-Endorsed Thesis/Research Proposal + University Enrollment Proof + Academic Transcripts</t>
        </is>
      </c>
      <c r="P95" t="inlineStr">
        <is>
          <t>Bangladeshi M.S., M.Phil &amp; PhD STEM Researchers at Public Universities</t>
        </is>
      </c>
      <c r="Q95" t="inlineStr">
        <is>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is>
      </c>
      <c r="R95" t="inlineStr">
        <is>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is>
      </c>
      <c r="S95" t="inlineStr">
        <is>
          <t>Ministry Expert Committee Evaluation of Academic CGPA, Thesis Supervisor Endorsement, and Scientific Merit of the Research Synopsis.</t>
        </is>
      </c>
      <c r="T95" t="inlineStr">
        <is>
          <t>Bangladeshi M.S. thesis and PhD researchers in agriculture, biotechnology, engineering, physics, and environmental sciences at public universities across Bangladesh.</t>
        </is>
      </c>
      <c r="V95" t="inlineStr">
        <is>
          <t>https://most.gov.bd</t>
        </is>
      </c>
      <c r="Z95" t="inlineStr">
        <is>
          <t>STEM, Research</t>
        </is>
      </c>
      <c r="AA95" s="5" t="n">
        <v>46312</v>
      </c>
      <c r="AB95" s="5" t="n">
        <v>46312</v>
      </c>
      <c r="AC95">
        <f>IF(AND(E95&lt;&gt;"",COUNTIF($E$2:$E$800,E95)&gt;1),"DUPLICATE","")</f>
        <v/>
      </c>
    </row>
    <row r="96">
      <c r="A96" t="inlineStr">
        <is>
          <t>msca-doctoral-networks-marie-sklodowska-curie-actions-phd</t>
        </is>
      </c>
      <c r="B96" t="inlineStr">
        <is>
          <t>Open</t>
        </is>
      </c>
      <c r="D96" t="inlineStr">
        <is>
          <t>Scholarship</t>
        </is>
      </c>
      <c r="E96" t="inlineStr">
        <is>
          <t>Marie Skłodowska-Curie Actions (MSCA) Doctoral Networks</t>
        </is>
      </c>
      <c r="F96" t="inlineStr">
        <is>
          <t>European Commission (Horizon Europe) — EU &amp; Associated Countries</t>
        </is>
      </c>
      <c r="G96" t="inlineStr">
        <is>
          <t>Europe</t>
        </is>
      </c>
      <c r="H96" t="inlineStr">
        <is>
          <t>Germany, Netherlands, France, Spain, Italy, Belgium, Sweden, Denmark</t>
        </is>
      </c>
      <c r="I96" t="inlineStr">
        <is>
          <t>PhD</t>
        </is>
      </c>
      <c r="J96" t="inlineStr">
        <is>
          <t>All fields</t>
        </is>
      </c>
      <c r="K96" t="inlineStr">
        <is>
          <t>Full</t>
        </is>
      </c>
      <c r="L96" t="inlineStr">
        <is>
          <t>Full Employment Contract (€3,400/mo Living Allowance + €600/mo Mobility Allowance + €660/mo Family Allowance + Full Research/Tuition Costs)</t>
        </is>
      </c>
      <c r="M96" t="inlineStr">
        <is>
          <t>Year-round rolling vacancies on EURAXESS (Peak recruitment: Oct – May)</t>
        </is>
      </c>
      <c r="N96" t="inlineStr">
        <is>
          <t>Open to all nationalities worldwide; holds a Master’s degree; must not have resided/worked in the recruiting host country for more than 12 months in the last 36 months (MSCA Mobility Rule); not yet awarded a PhD.</t>
        </is>
      </c>
      <c r="O96" t="inlineStr">
        <is>
          <t>High: Tailored Cover Letter + Academic CV + Master’s Thesis Abstract + 2–3 Referees + Technical Panel Interview</t>
        </is>
      </c>
      <c r="P96" t="inlineStr">
        <is>
          <t>Research-Focused Master’s Graduates Seeking Salaried European PhD Positions</t>
        </is>
      </c>
      <c r="Q96" t="inlineStr">
        <is>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is>
      </c>
      <c r="R96" t="inlineStr">
        <is>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is>
      </c>
      <c r="S96" t="inlineStr">
        <is>
          <t>Compliance with MSCA Mobility &amp; Doctoral Eligibility Rules (Pass/Fail) → Academic &amp; Technical Fit with the Specific Project (40%) → Research Experience &amp; Master’s Thesis Quality (30%) → Scientific Presentation &amp; Panel Interview (30%).</t>
        </is>
      </c>
      <c r="T96" t="inlineStr">
        <is>
          <t>Proactive Master’s graduates who monitor EURAXESS daily, apply to specific 3-year project calls matching their exact experimental or computational background, and deliver a sharp 10-minute presentation of their Master’s thesis during the consortium interview.</t>
        </is>
      </c>
      <c r="V96" t="inlineStr">
        <is>
          <t>https://euraxess.ec.europa.eu/jobs/search</t>
        </is>
      </c>
      <c r="Z96" t="inlineStr">
        <is>
          <t>STEM, Research</t>
        </is>
      </c>
      <c r="AA96" s="5" t="n">
        <v>46312</v>
      </c>
      <c r="AB96" s="5" t="n">
        <v>46312</v>
      </c>
      <c r="AC96">
        <f>IF(AND(E96&lt;&gt;"",COUNTIF($E$2:$E$800,E96)&gt;1),"DUPLICATE","")</f>
        <v/>
      </c>
    </row>
    <row r="97">
      <c r="A97" t="inlineStr">
        <is>
          <t>chevening-scholarships-uk-government-global-programme-master</t>
        </is>
      </c>
      <c r="B97" t="inlineStr">
        <is>
          <t>Open</t>
        </is>
      </c>
      <c r="D97" t="inlineStr">
        <is>
          <t>Scholarship</t>
        </is>
      </c>
      <c r="E97" t="inlineStr">
        <is>
          <t>Chevening Scholarships (UK)</t>
        </is>
      </c>
      <c r="F97" t="inlineStr">
        <is>
          <t>UK Foreign, Commonwealth &amp; Development Office (FCDO)</t>
        </is>
      </c>
      <c r="G97" t="inlineStr">
        <is>
          <t>Europe</t>
        </is>
      </c>
      <c r="H97" t="inlineStr">
        <is>
          <t>United Kingdom</t>
        </is>
      </c>
      <c r="I97" t="inlineStr">
        <is>
          <t>Master</t>
        </is>
      </c>
      <c r="J97" t="inlineStr">
        <is>
          <t>All fields</t>
        </is>
      </c>
      <c r="K97" t="inlineStr">
        <is>
          <t>Full</t>
        </is>
      </c>
      <c r="L97" t="inlineStr">
        <is>
          <t>Full Ride (100% UK Tuition Fees, Monthly Living Stipend, Return Economy Flights, Visa &amp; TB Test Costs, Arrival/Departure Allowances)</t>
        </is>
      </c>
      <c r="M97" t="inlineStr">
        <is>
          <t>Aug – Nov 5 (Annual cycle; closes early November at 12:00 UTC)</t>
        </is>
      </c>
      <c r="N97" t="inlineStr">
        <is>
          <t>Citizen of a Chevening-eligible country (including India, Bangladesh, Pakistan, and 160+ nations); Bachelor’s degree; minimum 2 years (2,800 hours) of work experience (full-time, part-time, or voluntary/internships); return to home country for 2 years post-study.</t>
        </is>
      </c>
      <c r="O97" t="inlineStr">
        <is>
          <t>Very High: 4 Core Essays (Leadership, Networking, Studying in the UK, Career Plan) + 3 Unconditional UK University Choices + Embassy Interview</t>
        </is>
      </c>
      <c r="P97" t="inlineStr">
        <is>
          <t>Emerging Leaders &amp; Mid-Career Professionals with 2+ Years of Work/Voluntary Experience</t>
        </is>
      </c>
      <c r="Q97" t="inlineStr">
        <is>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is>
      </c>
      <c r="R97" t="inlineStr">
        <is>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is>
      </c>
      <c r="S97" t="inlineStr">
        <is>
          <t>Automated Eligibility &amp; Work-Hours Filter → Independent Reading Committee Evaluation of the 4 Essays → Shortlisting for In-Person/Virtual British High Commission Panel Interview (Feb–Apr) → Unconditional UK Offer Verification (July).</t>
        </is>
      </c>
      <c r="T97" t="inlineStr">
        <is>
          <t>Professionals, NGO founders, researchers, and policy advocates who use the STAR method (Situation, Task, Action, Result) in all four essays and connect their 3 UK Master’s choices directly to measurable national impact upon returning home.</t>
        </is>
      </c>
      <c r="V97" t="inlineStr">
        <is>
          <t>https://www.chevening.org/scholarships/</t>
        </is>
      </c>
      <c r="Z97" t="inlineStr">
        <is>
          <t>Work experience</t>
        </is>
      </c>
      <c r="AA97" s="5" t="n">
        <v>46312</v>
      </c>
      <c r="AB97" s="5" t="n">
        <v>46312</v>
      </c>
      <c r="AC97">
        <f>IF(AND(E97&lt;&gt;"",COUNTIF($E$2:$E$800,E97)&gt;1),"DUPLICATE","")</f>
        <v/>
      </c>
    </row>
    <row r="98">
      <c r="A98" t="inlineStr">
        <is>
          <t>commonwealth-phd-scholarships-low-middle-income-uk-phd</t>
        </is>
      </c>
      <c r="B98" t="inlineStr">
        <is>
          <t>Open</t>
        </is>
      </c>
      <c r="D98" t="inlineStr">
        <is>
          <t>Scholarship</t>
        </is>
      </c>
      <c r="E98" t="inlineStr">
        <is>
          <t>Commonwealth PhD Scholarships (UK)</t>
        </is>
      </c>
      <c r="F98" t="inlineStr">
        <is>
          <t>UK Foreign, Commonwealth &amp; Development Office (FCDO) &amp; CSC</t>
        </is>
      </c>
      <c r="G98" t="inlineStr">
        <is>
          <t>Europe</t>
        </is>
      </c>
      <c r="H98" t="inlineStr">
        <is>
          <t>United Kingdom</t>
        </is>
      </c>
      <c r="I98" t="inlineStr">
        <is>
          <t>PhD</t>
        </is>
      </c>
      <c r="J98" t="inlineStr">
        <is>
          <t>All fields</t>
        </is>
      </c>
      <c r="K98" t="inlineStr">
        <is>
          <t>Full</t>
        </is>
      </c>
      <c r="L98" t="inlineStr">
        <is>
          <t>Full Ride (100% UK Tuition, £1,378–£1,690/mo Living Stipend, Return Flights, Study Travel Grant, Fieldwork Grant &amp; Family Allowances)</t>
        </is>
      </c>
      <c r="M98" t="inlineStr">
        <is>
          <t>Sep – Oct 15 (Annual CSC portal + National Nominating Agency deadline)</t>
        </is>
      </c>
      <c r="N98" t="inlineStr">
        <is>
          <t>Citizen or permanent resident of an eligible low- or middle-income Commonwealth country (including Bangladesh, Pakistan, India for Split-Site, Nigeria, Kenya, Ghana); holds a First Class or Upper Second Class (2:1) Bachelor’s and Master’s degree; unable to afford UK study without funding.</t>
        </is>
      </c>
      <c r="O98" t="inlineStr">
        <is>
          <t>Very High: UK Doctoral Supervisor Support Statement + Development Impact Statement + CSC Application + National Agency Nomination</t>
        </is>
      </c>
      <c r="P98" t="inlineStr">
        <is>
          <t>Commonwealth Doctoral Candidates Pursuing Development-Oriented PhDs in the UK</t>
        </is>
      </c>
      <c r="Q98" t="inlineStr">
        <is>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is>
      </c>
      <c r="R98" t="inlineStr">
        <is>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is>
      </c>
      <c r="S98" t="inlineStr">
        <is>
          <t>Academic Merit of the Candidate (30%) + Quality of Research Proposal &amp; UK Supervisor Alignment (30%) + Potential Development Impact on the Home Country (40%), vetted jointly by the Home Country Nominating Agency and UK CSC Advisers.</t>
        </is>
      </c>
      <c r="T98" t="inlineStr">
        <is>
          <t>Doctoral researchers who secure early backing from a UK professor before September and frame their PhD thesis around solving a concrete agricultural, climate, public health, or engineering bottleneck in their home Commonwealth nation.</t>
        </is>
      </c>
      <c r="V98" t="inlineStr">
        <is>
          <t>https://cscuk.fcdo.gov.uk/scholarships/</t>
        </is>
      </c>
      <c r="Z98" t="inlineStr">
        <is>
          <t>STEM, Research, Need-based</t>
        </is>
      </c>
      <c r="AA98" s="5" t="n">
        <v>46312</v>
      </c>
      <c r="AB98" s="5" t="n">
        <v>46312</v>
      </c>
      <c r="AC98">
        <f>IF(AND(E98&lt;&gt;"",COUNTIF($E$2:$E$800,E98)&gt;1),"DUPLICATE","")</f>
        <v/>
      </c>
    </row>
    <row r="99">
      <c r="A99" t="inlineStr">
        <is>
          <t>gates-cambridge-scholarship-university-of-cambridge-master-phd</t>
        </is>
      </c>
      <c r="B99" t="inlineStr">
        <is>
          <t>Open</t>
        </is>
      </c>
      <c r="D99" t="inlineStr">
        <is>
          <t>Scholarship</t>
        </is>
      </c>
      <c r="E99" t="inlineStr">
        <is>
          <t>Gates Cambridge Scholarship</t>
        </is>
      </c>
      <c r="F99" t="inlineStr">
        <is>
          <t>Bill &amp; Melinda Gates Foundation &amp; University of Cambridge, UK</t>
        </is>
      </c>
      <c r="G99" t="inlineStr">
        <is>
          <t>Europe</t>
        </is>
      </c>
      <c r="H99" t="inlineStr">
        <is>
          <t>United Kingdom</t>
        </is>
      </c>
      <c r="I99" t="inlineStr">
        <is>
          <t>Master, PhD</t>
        </is>
      </c>
      <c r="J99" t="inlineStr">
        <is>
          <t>All fields</t>
        </is>
      </c>
      <c r="K99" t="inlineStr">
        <is>
          <t>Full</t>
        </is>
      </c>
      <c r="L99" t="inlineStr">
        <is>
          <t>Full Ride (100% University Composition Fee, £21,000/yr Stipend for up to 4 yrs, Economy Airfare, Visa &amp; IHS Health Surcharge, Academic &amp; Family Grants)</t>
        </is>
      </c>
      <c r="M99" t="inlineStr">
        <is>
          <t>Oct 15 (US citizens) / Dec 3 or Jan 7 (International round — varies by Cambridge course)</t>
        </is>
      </c>
      <c r="N99" t="inlineStr">
        <is>
          <t>Citizen of any country outside the United Kingdom; applying to pursue a full-time PhD, MLitt, or 1-year postgraduate course at the University of Cambridge; outstanding intellectual ability, leadership capacity, and commitment to improving the lives of others.</t>
        </is>
      </c>
      <c r="O99" t="inlineStr">
        <is>
          <t>Very High: Cambridge Admission Dossier + Gates Cambridge 500-Word Personal Statement + PhD Research Proposal +Gates Reference Letter + Panel Interview</t>
        </is>
      </c>
      <c r="P99" t="inlineStr">
        <is>
          <t>Top-1% Global Master’s &amp; PhD Applicants with Proven Social Leadership</t>
        </is>
      </c>
      <c r="Q99" t="inlineStr">
        <is>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is>
      </c>
      <c r="R99" t="inlineStr">
        <is>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is>
      </c>
      <c r="S99" t="inlineStr">
        <is>
          <t>Four Equally Weighted Pillars: (1) Outstanding Intellectual Ability (Departmental Ranking), (2) Reasons for Choice of Course (Academic Fit), (3) Commitment to Improving the Lives of Others, and (4) Leadership Potential — culminating in a 25-minute panel interview in March.</t>
        </is>
      </c>
      <c r="T99" t="inlineStr">
        <is>
          <t>Scholars who combine top-ranked departmental academic credentials (publications, valedictorian GPAs) with an authentic, long-standing track record of civic, scientific, or humanitarian leadership.</t>
        </is>
      </c>
      <c r="V99" t="inlineStr">
        <is>
          <t>https://www.gatescambridge.org/apply/</t>
        </is>
      </c>
      <c r="Z99" t="inlineStr">
        <is>
          <t>Research</t>
        </is>
      </c>
      <c r="AA99" s="5" t="n">
        <v>46312</v>
      </c>
      <c r="AB99" s="5" t="n">
        <v>46312</v>
      </c>
      <c r="AC99">
        <f>IF(AND(E99&lt;&gt;"",COUNTIF($E$2:$E$800,E99)&gt;1),"DUPLICATE","")</f>
        <v/>
      </c>
    </row>
    <row r="100">
      <c r="A100" t="inlineStr">
        <is>
          <t>clarendon-fund-scholarships-university-of-oxford-master-phd</t>
        </is>
      </c>
      <c r="B100" t="inlineStr">
        <is>
          <t>Open</t>
        </is>
      </c>
      <c r="D100" t="inlineStr">
        <is>
          <t>Scholarship</t>
        </is>
      </c>
      <c r="E100" t="inlineStr">
        <is>
          <t>Clarendon Fund Scholarships (University of Oxford)</t>
        </is>
      </c>
      <c r="F100" t="inlineStr">
        <is>
          <t>University of Oxford &amp; Oxford University Press, UK</t>
        </is>
      </c>
      <c r="G100" t="inlineStr">
        <is>
          <t>Europe</t>
        </is>
      </c>
      <c r="H100" t="inlineStr">
        <is>
          <t>United Kingdom</t>
        </is>
      </c>
      <c r="I100" t="inlineStr">
        <is>
          <t>Master, PhD</t>
        </is>
      </c>
      <c r="J100" t="inlineStr">
        <is>
          <t>All fields</t>
        </is>
      </c>
      <c r="K100" t="inlineStr">
        <is>
          <t>Full</t>
        </is>
      </c>
      <c r="L100" t="inlineStr">
        <is>
          <t>Full Ride (100% Oxford Course Fees + £19,237+/yr Living Grant for full period of fee liability)</t>
        </is>
      </c>
      <c r="M100" t="inlineStr">
        <is>
          <t>Dec 3 – Jan 9 (Automatic consideration upon applying by your Oxford course’s Dec/Jan deadline)</t>
        </is>
      </c>
      <c r="N100" t="inlineStr">
        <is>
          <t>Open to all nationalities worldwide; applying for any new full-time or part-time Master’s or DPhil (PhD) course at the University of Oxford; exceptional academic merit and research potential (typically GPA ≥ 3.7/4.0 or First Class Honours).</t>
        </is>
      </c>
      <c r="O100" t="inlineStr">
        <is>
          <t>High: No Separate Scholarship Form Required (Evaluated via Oxford Graduate Admission Application, Statement of Purpose, Writing Sample/Proposal &amp; 3 References)</t>
        </is>
      </c>
      <c r="P100" t="inlineStr">
        <is>
          <t>First-Class Master’s &amp; DPhil Applicants Applying to the University of Oxford</t>
        </is>
      </c>
      <c r="Q100" t="inlineStr">
        <is>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is>
      </c>
      <c r="R100" t="inlineStr">
        <is>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is>
      </c>
      <c r="S100" t="inlineStr">
        <is>
          <t>Pure Academic Excellence &amp; Future Potential: Oxford academic departments nominate their top-ranked admitted applicants based on GPA, research proposal originality, publications, and academic references → Divisional Funding Panels allocate awards in Feb–April.</t>
        </is>
      </c>
      <c r="T100" t="inlineStr">
        <is>
          <t>Top-ranked applicants in each Oxford department whose academic transcripts, publications, and research proposals place them in the top 2–5% of their admitted graduate cohort.</t>
        </is>
      </c>
      <c r="V100" t="inlineStr">
        <is>
          <t>https://www.ox.ac.uk/clarendon</t>
        </is>
      </c>
      <c r="Z100" t="inlineStr">
        <is>
          <t>Research</t>
        </is>
      </c>
      <c r="AA100" s="5" t="n">
        <v>46312</v>
      </c>
      <c r="AB100" s="5" t="n">
        <v>46312</v>
      </c>
      <c r="AC100">
        <f>IF(AND(E100&lt;&gt;"",COUNTIF($E$2:$E$800,E100)&gt;1),"DUPLICATE","")</f>
        <v/>
      </c>
    </row>
    <row r="101">
      <c r="A101" t="inlineStr">
        <is>
          <t>international-max-planck-research-schools-imprs-germany-phd</t>
        </is>
      </c>
      <c r="B101" t="inlineStr">
        <is>
          <t>Open</t>
        </is>
      </c>
      <c r="D101" t="inlineStr">
        <is>
          <t>Scholarship</t>
        </is>
      </c>
      <c r="E101" t="inlineStr">
        <is>
          <t>International Max Planck Research Schools (IMPRS) PhD Fellowships</t>
        </is>
      </c>
      <c r="F101" t="inlineStr">
        <is>
          <t>Max Planck Society (Max-Planck-Gesellschaft) &amp; Partner German Universities</t>
        </is>
      </c>
      <c r="G101" t="inlineStr">
        <is>
          <t>Europe</t>
        </is>
      </c>
      <c r="H101" t="inlineStr">
        <is>
          <t>Germany</t>
        </is>
      </c>
      <c r="I101" t="inlineStr">
        <is>
          <t>PhD</t>
        </is>
      </c>
      <c r="J101" t="inlineStr">
        <is>
          <t>Engineering &amp; Technology, Computer Science, Data &amp; AI, Mathematics &amp; Natural Sciences, Health &amp; Life Sciences, Social Sciences &amp; Humanities</t>
        </is>
      </c>
      <c r="K101" t="inlineStr">
        <is>
          <t>Full</t>
        </is>
      </c>
      <c r="L101" t="inlineStr">
        <is>
          <t>Full Salaried PhD Support (~€2,200–€2,700/mo net via TVöD E13 65% Contract, Zero Tuition, Full Health/Social Security, Conference Travel Grants)</t>
        </is>
      </c>
      <c r="M101" t="inlineStr">
        <is>
          <t>Sep – Jan (Main annual calls; select IMPRS schools also recruit in Spring)</t>
        </is>
      </c>
      <c r="N101" t="inlineStr">
        <is>
          <t>Open to all nationalities worldwide; holding (or about to complete) a Master’s degree (or exceptional 4-year B.Sc. Honours for fast-track programs) with top grades; strong English proficiency (no German required).</t>
        </is>
      </c>
      <c r="O101" t="inlineStr">
        <is>
          <t>High: Online IMPRS Portal Application + Motivation Letter + Master’s Thesis Summary + 2–3 Referee Reports + Multi-Stage Symposium Interview</t>
        </is>
      </c>
      <c r="P101" t="inlineStr">
        <is>
          <t>International STEM, AI, Life Sciences &amp; Social Science Graduates Seeking English-Taught PhDs in Germany</t>
        </is>
      </c>
      <c r="Q101" t="inlineStr">
        <is>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is>
      </c>
      <c r="R101" t="inlineStr">
        <is>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is>
      </c>
      <c r="S101" t="inlineStr">
        <is>
          <t>Scientific Committee Screening of Academic Record &amp; Research Experience → Online Pre-Interview → 2-to-3-Day Selection Symposium (Research Talk, 1-on-1 Interviews with Max Planck Directors/PIs, and Lab Rotations/Discussions).</t>
        </is>
      </c>
      <c r="T101" t="inlineStr">
        <is>
          <t>Hands-on experimental and computational Master’s graduates who articulate a deep understanding of the specific Max Planck lab's recent papers and excel during the interactive selection symposium.</t>
        </is>
      </c>
      <c r="V101" t="inlineStr">
        <is>
          <t>https://www.mpg.de/en/imprs</t>
        </is>
      </c>
      <c r="Z101" t="inlineStr">
        <is>
          <t>STEM, Research</t>
        </is>
      </c>
      <c r="AA101" s="5" t="n">
        <v>46312</v>
      </c>
      <c r="AB101" s="5" t="n">
        <v>46312</v>
      </c>
      <c r="AC101">
        <f>IF(AND(E101&lt;&gt;"",COUNTIF($E$2:$E$800,E101)&gt;1),"DUPLICATE","")</f>
        <v/>
      </c>
    </row>
    <row r="102">
      <c r="A102" t="inlineStr">
        <is>
          <t>swedish-institute-scholarships-for-global-professionals-sisgp-master</t>
        </is>
      </c>
      <c r="B102" t="inlineStr">
        <is>
          <t>Open</t>
        </is>
      </c>
      <c r="D102" t="inlineStr">
        <is>
          <t>Scholarship</t>
        </is>
      </c>
      <c r="E102" t="inlineStr">
        <is>
          <t>Swedish Institute Scholarships for Global Professionals (SISGP)</t>
        </is>
      </c>
      <c r="F102" t="inlineStr">
        <is>
          <t>Swedish Institute (SI) — Government of Sweden</t>
        </is>
      </c>
      <c r="G102" t="inlineStr">
        <is>
          <t>Europe</t>
        </is>
      </c>
      <c r="H102" t="inlineStr">
        <is>
          <t>Sweden</t>
        </is>
      </c>
      <c r="I102" t="inlineStr">
        <is>
          <t>Master</t>
        </is>
      </c>
      <c r="J102" t="inlineStr">
        <is>
          <t>All fields</t>
        </is>
      </c>
      <c r="K102" t="inlineStr">
        <is>
          <t>Full</t>
        </is>
      </c>
      <c r="L102" t="inlineStr">
        <is>
          <t>Full Ride (100% Tuition Paid Directly to University, SEK 12,000/mo Living Stipend, SEK 15,000 Travel Grant, Health Insurance)</t>
        </is>
      </c>
      <c r="M102" t="inlineStr">
        <is>
          <t>Jan 15 (UniversityAdmissions.se deadline) / Feb 10 – Feb 26 (SI Scholarship portal window)</t>
        </is>
      </c>
      <c r="N102" t="inlineStr">
        <is>
          <t>Citizens of 33+ eligible SISGP countries (including Bangladesh, Pakistan, Nepal, Indonesia, Kenya, Nigeria, Ghana, etc.); Bachelor’s degree; minimum 3,000 hours of demonstrated work experience AND leadership experience; admitted to one of 700+ eligible English-taught Swedish Master’s programs.</t>
        </is>
      </c>
      <c r="O102" t="inlineStr">
        <is>
          <t>High: UniversityAdmissions.se Application + Official SI Templates for CV, Work &amp; Leadership Proof (3,000+ hrs) + 2 Reference Letters</t>
        </is>
      </c>
      <c r="P102" t="inlineStr">
        <is>
          <t>Professionals from Developing Countries Seeking 1- or 2-Year Master’s in Sweden</t>
        </is>
      </c>
      <c r="Q102" t="inlineStr">
        <is>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is>
      </c>
      <c r="R102" t="inlineStr">
        <is>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is>
      </c>
      <c r="S102" t="inlineStr">
        <is>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is>
      </c>
      <c r="T102" t="inlineStr">
        <is>
          <t>Detail-oriented professionals who strictly follow the Swedish Institute's exact document templates, stamps, and page limits, and rank an SISGP-eligible Master’s program as their #1 priority on UniversityAdmissions.se.</t>
        </is>
      </c>
      <c r="V102" t="inlineStr">
        <is>
          <t>https://si.se/en/apply/scholarships/swedish-institute-scholarships-for-global-professionals/</t>
        </is>
      </c>
      <c r="Z102" t="inlineStr">
        <is>
          <t>Work experience</t>
        </is>
      </c>
      <c r="AA102" s="5" t="n">
        <v>46312</v>
      </c>
      <c r="AB102" s="5" t="n">
        <v>46312</v>
      </c>
      <c r="AC102">
        <f>IF(AND(E102&lt;&gt;"",COUNTIF($E$2:$E$800,E102)&gt;1),"DUPLICATE","")</f>
        <v/>
      </c>
    </row>
    <row r="103">
      <c r="A103" t="inlineStr">
        <is>
          <t>italian-government-maeci-invest-your-talent-in-italy-master-phd</t>
        </is>
      </c>
      <c r="B103" t="inlineStr">
        <is>
          <t>Open</t>
        </is>
      </c>
      <c r="D103" t="inlineStr">
        <is>
          <t>Scholarship</t>
        </is>
      </c>
      <c r="E103" t="inlineStr">
        <is>
          <t>Italian Government MAECI &amp; Invest Your Talent in Italy (IYT) Scholarships</t>
        </is>
      </c>
      <c r="F103" t="inlineStr">
        <is>
          <t>Ministry of Foreign Affairs and International Cooperation (MAECI) — Italy</t>
        </is>
      </c>
      <c r="G103" t="inlineStr">
        <is>
          <t>Europe</t>
        </is>
      </c>
      <c r="H103" t="inlineStr">
        <is>
          <t>Italy</t>
        </is>
      </c>
      <c r="I103" t="inlineStr">
        <is>
          <t>Master, PhD</t>
        </is>
      </c>
      <c r="J103" t="inlineStr">
        <is>
          <t>Engineering &amp; Technology, Architecture, Arts &amp; Design, Business, Economics &amp; Management, All fields</t>
        </is>
      </c>
      <c r="K103" t="inlineStr">
        <is>
          <t>Full</t>
        </is>
      </c>
      <c r="L103" t="inlineStr">
        <is>
          <t>Full Tuition Exemption + €900–€1,000/mo Stipend + Health Insurance + Mandatory Corporate Internship (IYT Track)</t>
        </is>
      </c>
      <c r="M103" t="inlineStr">
        <is>
          <t>Feb – Mar (Invest Your Talent in Italy) / May – June (MAECI Study in Italy Call)</t>
        </is>
      </c>
      <c r="N103" t="inlineStr">
        <is>
          <t>International students from eligible partner countries (including India, Bangladesh, Pakistan, African &amp; Asian nations); age under 28 (for Master’s) or under 30 (for PhD); Bachelor’s/Master’s degree; B2 English proficiency.</t>
        </is>
      </c>
      <c r="O103" t="inlineStr">
        <is>
          <t>Medium: Study in Italy / IYT Portal Application + 1-Minute Video Essay (for IYT) + Statement of Purpose + Transcripts</t>
        </is>
      </c>
      <c r="P103" t="inlineStr">
        <is>
          <t>Engineering, Architecture, Design, Economics &amp; Research Graduates Targeting Top Italian Universities</t>
        </is>
      </c>
      <c r="Q103" t="inlineStr">
        <is>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is>
      </c>
      <c r="R103" t="inlineStr">
        <is>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is>
      </c>
      <c r="S103" t="inlineStr">
        <is>
          <t>Academic GPA &amp; University Fit (50%), Motivation Video/Statement &amp; Professional Potential (30%), Italian Embassy Interview / Country Quota Allocation (20%).</t>
        </is>
      </c>
      <c r="T103" t="inlineStr">
        <is>
          <t>Graduates in engineering, sustainable architecture, data science, and management who secure early pre-admission letters from Politecnico di Milano, Sapienza, or University of Bologna and submit a compelling motivation video.</t>
        </is>
      </c>
      <c r="V103" t="inlineStr">
        <is>
          <t>https://studyinitaly.esteri.it</t>
        </is>
      </c>
      <c r="Z103" t="inlineStr">
        <is>
          <t>STEM</t>
        </is>
      </c>
      <c r="AA103" s="5" t="n">
        <v>46312</v>
      </c>
      <c r="AB103" s="5" t="n">
        <v>46312</v>
      </c>
      <c r="AC103">
        <f>IF(AND(E103&lt;&gt;"",COUNTIF($E$2:$E$800,E103)&gt;1),"DUPLICATE","")</f>
        <v/>
      </c>
    </row>
    <row r="104">
      <c r="A104" t="inlineStr">
        <is>
          <t>italy-dsu-regional-need-based-scholarship-bachelor-master-phd</t>
        </is>
      </c>
      <c r="B104" t="inlineStr">
        <is>
          <t>Open</t>
        </is>
      </c>
      <c r="D104" t="inlineStr">
        <is>
          <t>Scholarship</t>
        </is>
      </c>
      <c r="E104" t="inlineStr">
        <is>
          <t>Italian Regional DSU Need-Based Scholarships (EDISU / ER.GO / LazioDisco)</t>
        </is>
      </c>
      <c r="F104" t="inlineStr">
        <is>
          <t>Italian Regional Right to University Study Agencies (DSU Toscana, EDISU Piemonte, ER.GO, LazioDisco)</t>
        </is>
      </c>
      <c r="G104" t="inlineStr">
        <is>
          <t>Europe</t>
        </is>
      </c>
      <c r="H104" t="inlineStr">
        <is>
          <t>Italy</t>
        </is>
      </c>
      <c r="I104" t="inlineStr">
        <is>
          <t>Bachelor, Master, PhD</t>
        </is>
      </c>
      <c r="J104" t="inlineStr">
        <is>
          <t>All fields</t>
        </is>
      </c>
      <c r="K104" t="inlineStr">
        <is>
          <t>Full</t>
        </is>
      </c>
      <c r="L104" t="inlineStr">
        <is>
          <t>Full Need-Based Support (100% Tuition Waiver, Free Dormitory Housing, Free Daily Canteen Meals + €6,500–€7,900/yr Cash Stipend)</t>
        </is>
      </c>
      <c r="M104" t="inlineStr">
        <is>
          <t>July – September (Annual regional calls aligned with Italian university enrollment)</t>
        </is>
      </c>
      <c r="N104" t="inlineStr">
        <is>
          <t>International and domestic students admitted to any public university in Italy (Bachelor’s, Master’s, or PhD) whose family economic status (ISEE Parificato) falls below the regional threshold (~€24,000–€27,000/yr; nearly all developing-country families qualify).</t>
        </is>
      </c>
      <c r="O104" t="inlineStr">
        <is>
          <t>Medium: No Essay or GPA Cutoff in Year 1 (Requires Legalized/Apostilled Family Income, Bank, Property &amp; Family Composition Documents)</t>
        </is>
      </c>
      <c r="P104" t="inlineStr">
        <is>
          <t>Students from South Asia, Africa &amp; Developing Nations Seeking Guaranteed Need-Based Funding in Italy</t>
        </is>
      </c>
      <c r="Q104" t="inlineStr">
        <is>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is>
      </c>
      <c r="R104" t="inlineStr">
        <is>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is>
      </c>
      <c r="S104" t="inlineStr">
        <is>
          <t>100% Objective Economic Ranking in Year 1 based on the calculated ISEE Parificato score (students from low-income developing countries receive maximum priority points) + Academic Credit (CFU) threshold for Year 2 renewal.</t>
        </is>
      </c>
      <c r="T104" t="inlineStr">
        <is>
          <t>Organized applicants from Bangladesh, India, Pakistan, and Africa who prepare, translate, and legalize their family income and property documents in May/June so they never miss the strict July/August regional DSU upload deadline.</t>
        </is>
      </c>
      <c r="V104" t="inlineStr">
        <is>
          <t>https://www.uni-italia.it</t>
        </is>
      </c>
      <c r="Z104" t="inlineStr">
        <is>
          <t>Need-based</t>
        </is>
      </c>
      <c r="AA104" s="5" t="n">
        <v>46312</v>
      </c>
      <c r="AB104" s="5" t="n">
        <v>46312</v>
      </c>
      <c r="AC104">
        <f>IF(AND(E104&lt;&gt;"",COUNTIF($E$2:$E$800,E104)&gt;1),"DUPLICATE","")</f>
        <v/>
      </c>
    </row>
    <row r="105">
      <c r="A105" t="inlineStr">
        <is>
          <t>vlir-uos-icp-connect-scholarships-belgium-master</t>
        </is>
      </c>
      <c r="B105" t="inlineStr">
        <is>
          <t>Open</t>
        </is>
      </c>
      <c r="D105" t="inlineStr">
        <is>
          <t>Scholarship</t>
        </is>
      </c>
      <c r="E105" t="inlineStr">
        <is>
          <t>VLIR-UOS ICP Connect Scholarships (Belgium)</t>
        </is>
      </c>
      <c r="F105" t="inlineStr">
        <is>
          <t>VLIR-UOS &amp; Belgian Directorate-General for Development Cooperation (DGD)</t>
        </is>
      </c>
      <c r="G105" t="inlineStr">
        <is>
          <t>Europe</t>
        </is>
      </c>
      <c r="H105" t="inlineStr">
        <is>
          <t>Belgium</t>
        </is>
      </c>
      <c r="I105" t="inlineStr">
        <is>
          <t>Master</t>
        </is>
      </c>
      <c r="J105" t="inlineStr">
        <is>
          <t>Agriculture &amp; Food Security, Environment, Water &amp; Energy, Health &amp; Life Sciences, Engineering &amp; Technology, Social Sciences &amp; Humanities</t>
        </is>
      </c>
      <c r="K105" t="inlineStr">
        <is>
          <t>Full</t>
        </is>
      </c>
      <c r="L105" t="inlineStr">
        <is>
          <t>Full Ride (100% Tuition Waiver, €1,400/mo All-Inclusive Stipend, International Flights, Health/Liability Insurance &amp; Logistics Allowance)</t>
        </is>
      </c>
      <c r="M105" t="inlineStr">
        <is>
          <t>Jan 31 – Feb 28 (Varies across the 15 accredited Flemish Master’s programs at KU Leuven, UGent, UAntwerp, VUB, UHasselt)</t>
        </is>
      </c>
      <c r="N105" t="inlineStr">
        <is>
          <t>National and current resident of one of the 29 eligible VLIR-UOS partner countries in Africa, Asia, and Latin America; age under 35 (for initial Master’s) or under 45 (for advanced Master’s); relevant professional/research experience in sustainable development.</t>
        </is>
      </c>
      <c r="O105" t="inlineStr">
        <is>
          <t>High: University Master’s Application + VLIR-UOS Motivation &amp; Social Change Statement + Employer Support + 2 References</t>
        </is>
      </c>
      <c r="P105" t="inlineStr">
        <is>
          <t>Development-Focused Professionals Pursuing English-Taught Master’s at KU Leuven, Ghent, or Antwerp</t>
        </is>
      </c>
      <c r="Q105" t="inlineStr">
        <is>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is>
      </c>
      <c r="R105" t="inlineStr">
        <is>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is>
      </c>
      <c r="S105" t="inlineStr">
        <is>
          <t>Academic Merit &amp; Research Potential (30%), Professional Experience &amp; Likelihood of Knowledge Transfer / Multiplier Effect in Home Country (40%), Gender &amp; Regional Equity Balance (30%).</t>
        </is>
      </c>
      <c r="T105" t="inlineStr">
        <is>
          <t>Researchers, agronomists, public health officers, and water/environmental engineers employed at universities or NGOs who demonstrate how Belgian technical training will immediately scale a project in their home country.</t>
        </is>
      </c>
      <c r="V105" t="inlineStr">
        <is>
          <t>https://www.vliruos.be/get-funded/calls/icp-connect-scholarships</t>
        </is>
      </c>
      <c r="Z105" t="inlineStr">
        <is>
          <t>STEM, Work experience</t>
        </is>
      </c>
      <c r="AA105" s="5" t="n">
        <v>46312</v>
      </c>
      <c r="AB105" s="5" t="n">
        <v>46312</v>
      </c>
      <c r="AC105">
        <f>IF(AND(E105&lt;&gt;"",COUNTIF($E$2:$E$800,E105)&gt;1),"DUPLICATE","")</f>
        <v/>
      </c>
    </row>
    <row r="106">
      <c r="A106" t="inlineStr">
        <is>
          <t>stipendium-hungaricum-postgraduate-track-master-phd</t>
        </is>
      </c>
      <c r="B106" t="inlineStr">
        <is>
          <t>Open</t>
        </is>
      </c>
      <c r="D106" t="inlineStr">
        <is>
          <t>Scholarship</t>
        </is>
      </c>
      <c r="E106" t="inlineStr">
        <is>
          <t>Stipendium Hungaricum (Master’s &amp; PhD Track)</t>
        </is>
      </c>
      <c r="F106" t="inlineStr">
        <is>
          <t>Government of Hungary &amp; Tempus Public Foundation</t>
        </is>
      </c>
      <c r="G106" t="inlineStr">
        <is>
          <t>Europe</t>
        </is>
      </c>
      <c r="H106" t="inlineStr">
        <is>
          <t>Hungary</t>
        </is>
      </c>
      <c r="I106" t="inlineStr">
        <is>
          <t>Master, PhD</t>
        </is>
      </c>
      <c r="J106" t="inlineStr">
        <is>
          <t>All fields</t>
        </is>
      </c>
      <c r="K106" t="inlineStr">
        <is>
          <t>Full</t>
        </is>
      </c>
      <c r="L106" t="inlineStr">
        <is>
          <t>Full Ride (100% Tuition Waiver, Free Dormitory or HUF 40,000/mo Housing Grant, HUF 43,700–180,000/mo Stipend, Medical Insurance)</t>
        </is>
      </c>
      <c r="M106" t="inlineStr">
        <is>
          <t>January 15 (Annual cycle on DreamApply + Home Country Sending Partner portal)</t>
        </is>
      </c>
      <c r="N106" t="inlineStr">
        <is>
          <t>Citizens of 90+ Sending Partner countries (including Bangladesh, Pakistan, India, Nigeria, Kenya, etc.); Bachelor’s degree (for Master’s) or Master’s degree (for PhD); doctoral applicants must upload a Statement of Supervisor Acceptance from a Hungarian professor.</t>
        </is>
      </c>
      <c r="O106" t="inlineStr">
        <is>
          <t>High: Dual Application (Tempus DreamApply Portal + Home Country Ministry/HEC/UGC Portal) + Research Plan + Supervisor Letter (PhD) + Oral Exam</t>
        </is>
      </c>
      <c r="P106" t="inlineStr">
        <is>
          <t>Graduates Seeking English-Taught Master’s &amp; PhDs in Central Europe with Bilateral Quotas</t>
        </is>
      </c>
      <c r="Q106" t="inlineStr">
        <is>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is>
      </c>
      <c r="R106" t="inlineStr">
        <is>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is>
      </c>
      <c r="S106" t="inlineStr">
        <is>
          <t>Stage 1: Nomination by Home Country Sending Partner (HEC/Ministry/UGC exam or merit list) → Stage 2: University Entrance Exam &amp; Skype/Zoom Technical Interview in Hungary (March–May) → Stage 3: Tempus Public Foundation Award Allocation.</t>
        </is>
      </c>
      <c r="T106" t="inlineStr">
        <is>
          <t>Master’s and PhD applicants who submit both the Hungarian and home-ministry applications before January 15 and (for PhD) contact Hungarian professors on doktori.hu in November to secure their mandatory supervisor acceptance letter.</t>
        </is>
      </c>
      <c r="V106" t="inlineStr">
        <is>
          <t>https://stipendiumhungaricum.hu</t>
        </is>
      </c>
      <c r="Z106" t="inlineStr">
        <is>
          <t>STEM, Research</t>
        </is>
      </c>
      <c r="AA106" s="5" t="n">
        <v>46312</v>
      </c>
      <c r="AB106" s="5" t="n">
        <v>46312</v>
      </c>
      <c r="AC106">
        <f>IF(AND(E106&lt;&gt;"",COUNTIF($E$2:$E$800,E106)&gt;1),"DUPLICATE","")</f>
        <v/>
      </c>
    </row>
    <row r="107">
      <c r="A107" t="inlineStr">
        <is>
          <t>turkiye-burslari-graduate-scholarship-master-phd</t>
        </is>
      </c>
      <c r="B107" t="inlineStr">
        <is>
          <t>Open</t>
        </is>
      </c>
      <c r="D107" t="inlineStr">
        <is>
          <t>Scholarship</t>
        </is>
      </c>
      <c r="E107" t="inlineStr">
        <is>
          <t>Türkiye Bursları Graduate Scholarship (Master’s &amp; PhD Track)</t>
        </is>
      </c>
      <c r="F107" t="inlineStr">
        <is>
          <t>Presidency for Turks Abroad and Related Communities (YTB) — Government of Turkey</t>
        </is>
      </c>
      <c r="G107" t="inlineStr">
        <is>
          <t>Europe</t>
        </is>
      </c>
      <c r="H107" t="inlineStr">
        <is>
          <t>Turkey</t>
        </is>
      </c>
      <c r="I107" t="inlineStr">
        <is>
          <t>Master, PhD</t>
        </is>
      </c>
      <c r="J107" t="inlineStr">
        <is>
          <t>All fields</t>
        </is>
      </c>
      <c r="K107" t="inlineStr">
        <is>
          <t>Full</t>
        </is>
      </c>
      <c r="L107" t="inlineStr">
        <is>
          <t>Full Ride (100% Tuition + University Placement + Free Dormitory + Monthly Stipend + 1-Yr Turkish Language Course + Health Insurance + Return Flights)</t>
        </is>
      </c>
      <c r="M107" t="inlineStr">
        <is>
          <t>Jan 10 – Feb 20 (Annual cycle)</t>
        </is>
      </c>
      <c r="N107" t="inlineStr">
        <is>
          <t>International students worldwide; age under 30 for Master’s and under 35 for PhD; minimum 75% academic GPA in Bachelor’s/Master’s degrees.</t>
        </is>
      </c>
      <c r="O107" t="inlineStr">
        <is>
          <t>High: Comprehensive TBBS Portal Application + Research Proposal (3,000-char sections) + Letter of Intent + 2 References + In-Person Embassy Interview</t>
        </is>
      </c>
      <c r="P107" t="inlineStr">
        <is>
          <t>Master’s &amp; PhD Candidates Under 30/35 Seeking Full State Sponsorship &amp; University Placement in Turkey</t>
        </is>
      </c>
      <c r="Q107" t="inlineStr">
        <is>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is>
      </c>
      <c r="R107" t="inlineStr">
        <is>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is>
      </c>
      <c r="S107" t="inlineStr">
        <is>
          <t>Academic GPA, Publications &amp; Research Proposal Review (50%) + 12-University Preference Alignment (20%) + In-Person Panel Interview at the Turkish Embassy/Consulate (30%).</t>
        </is>
      </c>
      <c r="T107" t="inlineStr">
        <is>
          <t>Postgraduate candidates with 80%+ GPAs who write an original, literature-backed research proposal inside the TBBS portal and bring published papers or thesis samples to their in-person Turkish Embassy interview.</t>
        </is>
      </c>
      <c r="V107" t="inlineStr">
        <is>
          <t>https://www.turkiyeburslari.gov.tr</t>
        </is>
      </c>
      <c r="Z107" t="inlineStr">
        <is>
          <t>Research</t>
        </is>
      </c>
      <c r="AA107" s="5" t="n">
        <v>46312</v>
      </c>
      <c r="AB107" s="5" t="n">
        <v>46312</v>
      </c>
      <c r="AC107">
        <f>IF(AND(E107&lt;&gt;"",COUNTIF($E$2:$E$800,E107)&gt;1),"DUPLICATE","")</f>
        <v/>
      </c>
    </row>
    <row r="108">
      <c r="A108" t="inlineStr">
        <is>
          <t>hec-allama-iqbal-tap-scholarship-foreign-students-pakistan</t>
        </is>
      </c>
      <c r="B108" t="inlineStr">
        <is>
          <t>Open</t>
        </is>
      </c>
      <c r="D108" t="inlineStr">
        <is>
          <t>Scholarship</t>
        </is>
      </c>
      <c r="E108" t="inlineStr">
        <is>
          <t>HEC Allama Iqbal &amp; Technical Assistance Programme (TAP) Scholarships</t>
        </is>
      </c>
      <c r="F108" t="inlineStr">
        <is>
          <t>Higher Education Commission (HEC) &amp; Ministry of Foreign Affairs, Government of Pakistan</t>
        </is>
      </c>
      <c r="G108" t="inlineStr">
        <is>
          <t>Asia</t>
        </is>
      </c>
      <c r="H108" t="inlineStr">
        <is>
          <t>Pakistan</t>
        </is>
      </c>
      <c r="I108" t="inlineStr">
        <is>
          <t>Bachelor, Master, PhD</t>
        </is>
      </c>
      <c r="J108" t="inlineStr">
        <is>
          <t>Engineering &amp; Technology, Health &amp; Life Sciences, Computer Science, Data &amp; AI, Agriculture &amp; Food Security, All fields</t>
        </is>
      </c>
      <c r="K108" t="inlineStr">
        <is>
          <t>Full</t>
        </is>
      </c>
      <c r="L108" t="inlineStr">
        <is>
          <t>Full Ride (100% Tuition Waiver, Free University Hostel, Monthly Living Stipend, Annual Book Allowance &amp; Return Airfare)</t>
        </is>
      </c>
      <c r="M108" t="inlineStr">
        <is>
          <t>Mar – Jun (Annual cycle via HEC Portal &amp; Pakistan Embassies/High Commissions)</t>
        </is>
      </c>
      <c r="N108" t="inlineStr">
        <is>
          <t>International students from South/Central Asia, Sri Lanka, Nepal, Afghanistan, Commonwealth, OIC, and developing partner countries; age 17–22 for Bachelor’s, under 30 for Master’s, and under 35 for PhD; strong academic standing.</t>
        </is>
      </c>
      <c r="O108" t="inlineStr">
        <is>
          <t>Medium: Online HEC Scholarship Application + Attested Academic Transcripts + Written/Online Aptitude Test + Embassy Interview</t>
        </is>
      </c>
      <c r="P108" t="inlineStr">
        <is>
          <t>International Students Seeking Fully Funded MBBS, BDS, Engineering, CS, or Postgraduate Degrees at Top Pakistani Universities</t>
        </is>
      </c>
      <c r="Q108" t="inlineStr">
        <is>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is>
      </c>
      <c r="R108" t="inlineStr">
        <is>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is>
      </c>
      <c r="S108" t="inlineStr">
        <is>
          <t>HEC Written/Online Academic Aptitude Test + Academic GPA Evaluation + Bilateral Country-Quota Interview conducted by HEC and the local Pakistan High Commission.</t>
        </is>
      </c>
      <c r="T108" t="inlineStr">
        <is>
          <t>High-GPA science, pre-medical, and engineering students from South Asia, Central Asia, and Africa who apply early through both the HEC portal and their local Pakistan Mission.</t>
        </is>
      </c>
      <c r="V108" t="inlineStr">
        <is>
          <t>https://www.hec.gov.pk/english/scholarshipsgrants/</t>
        </is>
      </c>
      <c r="Z108" t="inlineStr">
        <is>
          <t>STEM</t>
        </is>
      </c>
      <c r="AA108" s="5" t="n">
        <v>46312</v>
      </c>
      <c r="AB108" s="5" t="n">
        <v>46312</v>
      </c>
      <c r="AC108">
        <f>IF(AND(E108&lt;&gt;"",COUNTIF($E$2:$E$800,E108)&gt;1),"DUPLICATE","")</f>
        <v/>
      </c>
    </row>
    <row r="109">
      <c r="A109" t="inlineStr">
        <is>
          <t>comstech-oic-consortium-of-excellence-fellowships-pakistan-master-phd</t>
        </is>
      </c>
      <c r="B109" t="inlineStr">
        <is>
          <t>Open</t>
        </is>
      </c>
      <c r="D109" t="inlineStr">
        <is>
          <t>Scholarship</t>
        </is>
      </c>
      <c r="E109" t="inlineStr">
        <is>
          <t>COMSTECH-OIC Consortium of Excellence Fellowships (Pakistan)</t>
        </is>
      </c>
      <c r="F109" t="inlineStr">
        <is>
          <t>OIC Standing Committee on Scientific &amp; Technological Cooperation (COMSTECH) — Islamabad, Pakistan</t>
        </is>
      </c>
      <c r="G109" t="inlineStr">
        <is>
          <t>Asia</t>
        </is>
      </c>
      <c r="H109" t="inlineStr">
        <is>
          <t>Pakistan</t>
        </is>
      </c>
      <c r="I109" t="inlineStr">
        <is>
          <t>Master, PhD</t>
        </is>
      </c>
      <c r="J109" t="inlineStr">
        <is>
          <t>Engineering &amp; Technology, Computer Science, Data &amp; AI, Mathematics &amp; Natural Sciences, Health &amp; Life Sciences, Agriculture &amp; Food Security</t>
        </is>
      </c>
      <c r="K109" t="inlineStr">
        <is>
          <t>Full</t>
        </is>
      </c>
      <c r="L109" t="inlineStr">
        <is>
          <t>Full Fellowship (100% Tuition Waiver, Free Campus Accommodation, Monthly Living Stipend &amp; Round-Trip Economy Airfare)</t>
        </is>
      </c>
      <c r="M109" t="inlineStr">
        <is>
          <t>Mar – May (Annual cycle across COMSTECH Fellowship tracks)</t>
        </is>
      </c>
      <c r="N109" t="inlineStr">
        <is>
          <t>Citizens of any of the 57 OIC Member States (including Bangladesh, Pakistan, Malaysia, Indonesia, Egypt, Nigeria, Uganda, etc.); age under 35 (Master’s) or under 40 (PhD); B.Sc. or M.Sc. in STEM, Health, or Agricultural Sciences.</t>
        </is>
      </c>
      <c r="O109" t="inlineStr">
        <is>
          <t>Medium: COMSTECH Application Form + Host Institute Acceptance/Endorsement + Research Plan + 2 Reference Letters</t>
        </is>
      </c>
      <c r="P109" t="inlineStr">
        <is>
          <t>Researchers &amp; Graduate Students from OIC Member States (Including Bangladesh &amp; Pakistan) in STEM, Virology, Chemistry &amp; AI</t>
        </is>
      </c>
      <c r="Q109" t="inlineStr">
        <is>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is>
      </c>
      <c r="R109" t="inlineStr">
        <is>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is>
      </c>
      <c r="S109" t="inlineStr">
        <is>
          <t>Technical Review by COMSTECH Expert Panel in Islamabad + Host University/Institute Supervisor Evaluation of Research Feasibility + Regional OIC Distribution.</t>
        </is>
      </c>
      <c r="T109" t="inlineStr">
        <is>
          <t>Young chemists, biotechnologists, agricultural scientists, and computer scientists from OIC countries (especially Bangladesh, Sub-Saharan Africa, and Central Asia) seeking intensive laboratory training in Pakistan.</t>
        </is>
      </c>
      <c r="V109" t="inlineStr">
        <is>
          <t>https://comstech.org/fellowships/</t>
        </is>
      </c>
      <c r="Z109" t="inlineStr">
        <is>
          <t>STEM, Research</t>
        </is>
      </c>
      <c r="AA109" s="5" t="n">
        <v>46312</v>
      </c>
      <c r="AB109" s="5" t="n">
        <v>46312</v>
      </c>
      <c r="AC109">
        <f>IF(AND(E109&lt;&gt;"",COUNTIF($E$2:$E$800,E109)&gt;1),"DUPLICATE","")</f>
        <v/>
      </c>
    </row>
    <row r="110">
      <c r="A110" t="inlineStr">
        <is>
          <t>lums-national-outreach-programme-nop-saarc-scholarship-pakistan-bachelor</t>
        </is>
      </c>
      <c r="B110" t="inlineStr">
        <is>
          <t>Open</t>
        </is>
      </c>
      <c r="D110" t="inlineStr">
        <is>
          <t>Scholarship</t>
        </is>
      </c>
      <c r="E110" t="inlineStr">
        <is>
          <t>LUMS National Outreach Programme (NOP) &amp; International Scholarships</t>
        </is>
      </c>
      <c r="F110" t="inlineStr">
        <is>
          <t>Lahore University of Management Sciences (LUMS) — Lahore, Pakistan</t>
        </is>
      </c>
      <c r="G110" t="inlineStr">
        <is>
          <t>Asia</t>
        </is>
      </c>
      <c r="H110" t="inlineStr">
        <is>
          <t>Pakistan</t>
        </is>
      </c>
      <c r="I110" t="inlineStr">
        <is>
          <t>Bachelor, Master</t>
        </is>
      </c>
      <c r="J110" t="inlineStr">
        <is>
          <t>Business, Economics &amp; Management, Computer Science, Data &amp; AI, Engineering &amp; Technology, Law, Governance &amp; Public Policy, Social Sciences &amp; Humanities</t>
        </is>
      </c>
      <c r="K110" t="inlineStr">
        <is>
          <t>Full</t>
        </is>
      </c>
      <c r="L110" t="inlineStr">
        <is>
          <t>Full Ride (100% Tuition &amp; Registration Fee Waiver, Free Hostel Accommodation, Monthly Living &amp; Book Stipend, Free Summer Coaching Session)</t>
        </is>
      </c>
      <c r="M110" t="inlineStr">
        <is>
          <t>Feb – Mar (NOP Undergraduate Summer Coaching Track) / Jan – Apr (Direct Graduate &amp; SAARC Scholarship Track)</t>
        </is>
      </c>
      <c r="N110" t="inlineStr">
        <is>
          <t>High-achieving students from Pakistan (and SAARC/international applicants under LUMS Merit &amp; Shamim Khan Scholarships) with minimum 80% marks in Matric/O-Level; demonstrated high financial need for NOP.</t>
        </is>
      </c>
      <c r="O110" t="inlineStr">
        <is>
          <t>High: Financial Need Dossier + 2-Week LUMS Summer Coaching Session (for NOP) + SAT/LCAT Entrance Exam + Admission Application</t>
        </is>
      </c>
      <c r="P110" t="inlineStr">
        <is>
          <t>Brilliant Low-Income Pakistani &amp; South Asian Students Targeting Pakistan’s #1 Private Research University</t>
        </is>
      </c>
      <c r="Q110" t="inlineStr">
        <is>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is>
      </c>
      <c r="R110" t="inlineStr">
        <is>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is>
      </c>
      <c r="S110" t="inlineStr">
        <is>
          <t>Stage 1: Academic Merit (80%+ Matric) &amp; Financial Need Audit → Stage 2: Evaluation during the 2-Week Residential Summer Coaching Session at LUMS → Stage 3: Performance in LCAT/SAT &amp; Holistic Admission Committee Review.</t>
        </is>
      </c>
      <c r="T110" t="inlineStr">
        <is>
          <t>High-scoring F.Sc. and A-Level students from small towns and modest backgrounds across Pakistan who apply in Year 1 of Intermediate (F.Sc. Part-I) and excel in the LUMS Summer Coaching Session.</t>
        </is>
      </c>
      <c r="V110" t="inlineStr">
        <is>
          <t>https://nop.lums.edu.pk</t>
        </is>
      </c>
      <c r="Z110" t="inlineStr">
        <is>
          <t>STEM, Need-based</t>
        </is>
      </c>
      <c r="AA110" s="5" t="n">
        <v>46312</v>
      </c>
      <c r="AB110" s="5" t="n">
        <v>46312</v>
      </c>
      <c r="AC110">
        <f>IF(AND(E110&lt;&gt;"",COUNTIF($E$2:$E$800,E110)&gt;1),"DUPLICATE","")</f>
        <v/>
      </c>
    </row>
    <row r="111">
      <c r="A111" t="inlineStr">
        <is>
          <t>aga-khan-university-aku-financial-assistance-scholarships-pakistan</t>
        </is>
      </c>
      <c r="B111" t="inlineStr">
        <is>
          <t>Open</t>
        </is>
      </c>
      <c r="D111" t="inlineStr">
        <is>
          <t>Scholarship</t>
        </is>
      </c>
      <c r="E111" t="inlineStr">
        <is>
          <t>Aga Khan University (AKU) Financial Assistance &amp; Merit Scholarships</t>
        </is>
      </c>
      <c r="F111" t="inlineStr">
        <is>
          <t>Aga Khan University &amp; Aga Khan Development Network — Karachi, Pakistan</t>
        </is>
      </c>
      <c r="G111" t="inlineStr">
        <is>
          <t>Asia</t>
        </is>
      </c>
      <c r="H111" t="inlineStr">
        <is>
          <t>Pakistan</t>
        </is>
      </c>
      <c r="I111" t="inlineStr">
        <is>
          <t>Bachelor, Master, PhD</t>
        </is>
      </c>
      <c r="J111" t="inlineStr">
        <is>
          <t>Health &amp; Life Sciences, Education</t>
        </is>
      </c>
      <c r="K111" t="inlineStr">
        <is>
          <t>Full</t>
        </is>
      </c>
      <c r="L111" t="inlineStr">
        <is>
          <t>Up to 100% Need-Blind Financial Assistance (Grant-in-Aid Tuition Coverage + Interest-Free Student Loan + Hostel &amp; Stipend Support)</t>
        </is>
      </c>
      <c r="M111" t="inlineStr">
        <is>
          <t>May – Jul (AKU Admission Test Cycle; Financial Aid applications open upon admission shortlisting)</t>
        </is>
      </c>
      <c r="N111" t="inlineStr">
        <is>
          <t>Pakistani and international students admitted on pure academic merit to AKU Karachi programs (MBBS, B.Sc. Nursing, M.Ed., Master of Public Health, Health Data Science, or PhD in Health Sciences) who demonstrate financial need.</t>
        </is>
      </c>
      <c r="O111" t="inlineStr">
        <is>
          <t>Very High: Rigorous AKU Admission Test (Science/Math Reasoning) + Multiple Mini Interviews (MMIs) + Comprehensive Household Financial Audit</t>
        </is>
      </c>
      <c r="P111" t="inlineStr">
        <is>
          <t>Top Pre-Medical, Nursing, Public Health &amp; Education Students Seeking Need-Blind Admission at AKU Karachi</t>
        </is>
      </c>
      <c r="Q111" t="inlineStr">
        <is>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is>
      </c>
      <c r="R111" t="inlineStr">
        <is>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is>
      </c>
      <c r="S111" t="inlineStr">
        <is>
          <t>Step 1: Strictly Merit-Based Admission (AKU Written Test in Biology, Chemistry, Physics, Science/Math Reasoning + 2 Independent Interviews) → Step 2: Independent Financial Assistance Committee Verification of Family Need.</t>
        </is>
      </c>
      <c r="T111" t="inlineStr">
        <is>
          <t>Brilliant pre-medical and healthcare students who master the AKU Admission Test's analytical science reasoning section and provide transparent, well-documented family financial records after receiving their admission offer.</t>
        </is>
      </c>
      <c r="V111" t="inlineStr">
        <is>
          <t>https://www.aku.edu/admissions/fees-and-funding/Pages/home.aspx</t>
        </is>
      </c>
      <c r="Z111" t="inlineStr">
        <is>
          <t>Need-based</t>
        </is>
      </c>
      <c r="AA111" s="5" t="n">
        <v>46312</v>
      </c>
      <c r="AB111" s="5" t="n">
        <v>46312</v>
      </c>
      <c r="AC111">
        <f>IF(AND(E111&lt;&gt;"",COUNTIF($E$2:$E$800,E111)&gt;1),"DUPLICATE","")</f>
        <v/>
      </c>
    </row>
    <row r="112">
      <c r="A112" t="inlineStr">
        <is>
          <t>hec-overseas-scholarships-us-pakistan-knowledge-corridor-master-phd</t>
        </is>
      </c>
      <c r="B112" t="inlineStr">
        <is>
          <t>Open</t>
        </is>
      </c>
      <c r="D112" t="inlineStr">
        <is>
          <t>Scholarship</t>
        </is>
      </c>
      <c r="E112" t="inlineStr">
        <is>
          <t>HEC Overseas Scholarships &amp; US-Pakistan Knowledge Corridor (Master’s &amp; PhD)</t>
        </is>
      </c>
      <c r="F112" t="inlineStr">
        <is>
          <t>Higher Education Commission (HEC), Government of Pakistan</t>
        </is>
      </c>
      <c r="G112" t="inlineStr">
        <is>
          <t>Asia</t>
        </is>
      </c>
      <c r="H112" t="inlineStr">
        <is>
          <t>United States, United Kingdom, Germany, China</t>
        </is>
      </c>
      <c r="I112" t="inlineStr">
        <is>
          <t>Master, PhD</t>
        </is>
      </c>
      <c r="J112" t="inlineStr">
        <is>
          <t>Engineering &amp; Technology, Computer Science, Data &amp; AI, Mathematics &amp; Natural Sciences, Agriculture &amp; Food Security, All fields</t>
        </is>
      </c>
      <c r="K112" t="inlineStr">
        <is>
          <t>Full</t>
        </is>
      </c>
      <c r="L112" t="inlineStr">
        <is>
          <t>Full Ride Overseas (100% Tuition or Top-300 Global Partner Placement, Monthly Living Stipend, Return Airfare, Health Insurance &amp; Settlement Grant)</t>
        </is>
      </c>
      <c r="M112" t="inlineStr">
        <is>
          <t>Staggered annual windows (Typically Mar – Jun &amp; Sep – Nov on HEC e-portal)</t>
        </is>
      </c>
      <c r="N112" t="inlineStr">
        <is>
          <t>Pakistani/AJK citizens; age under 35 (or under 40 for regular public university faculty/researchers); minimum 16–18 years of education (BS/MS/MPhil) with CGPA ≥ 3.0/4.0 or First Division; valid HAT or GRE score (≥ 60% / 300+).</t>
        </is>
      </c>
      <c r="O112" t="inlineStr">
        <is>
          <t>Very High: HEC Online Application + HAT/GRE Score + Admission Offer from QS/THE Top-200/300 Global University + Legal Surety Bond to Return to Pakistan</t>
        </is>
      </c>
      <c r="P112" t="inlineStr">
        <is>
          <t>Pakistani Graduates &amp; Junior Faculty Pursuing Fully Funded PhDs at Top US, UK, German, or Chinese Universities</t>
        </is>
      </c>
      <c r="Q112" t="inlineStr">
        <is>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is>
      </c>
      <c r="R112" t="inlineStr">
        <is>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is>
      </c>
      <c r="S112" t="inlineStr">
        <is>
          <t>Academic Career Score (SSC to MS/MPhil CGPA) + HAT/GRE Test Score + QS/THE Global Ranking of Host Foreign University (applicants holding tuition-waived PhD offers from US R1 or European universities receive priority fast-track awards).</t>
        </is>
      </c>
      <c r="T112" t="inlineStr">
        <is>
          <t>Pakistani BS/MS graduates who score 70+ in the HEC HAT (or 310+ on the GRE) and secure a tuition-waived PhD acceptance from a top US R1 university or a German/European partner institution.</t>
        </is>
      </c>
      <c r="V112" t="inlineStr">
        <is>
          <t>https://www.hec.gov.pk/english/scholarshipsgrants/</t>
        </is>
      </c>
      <c r="Z112" t="inlineStr">
        <is>
          <t>STEM, Research</t>
        </is>
      </c>
      <c r="AA112" s="5" t="n">
        <v>46312</v>
      </c>
      <c r="AB112" s="5" t="n">
        <v>46312</v>
      </c>
      <c r="AC112">
        <f>IF(AND(E112&lt;&gt;"",COUNTIF($E$2:$E$800,E112)&gt;1),"DUPLICATE","")</f>
        <v/>
      </c>
    </row>
    <row r="113">
      <c r="A113" t="inlineStr">
        <is>
          <t>usefp-fulbright-degree-program-pakistan-master-phd</t>
        </is>
      </c>
      <c r="B113" t="inlineStr">
        <is>
          <t>Open</t>
        </is>
      </c>
      <c r="D113" t="inlineStr">
        <is>
          <t>Scholarship</t>
        </is>
      </c>
      <c r="E113" t="inlineStr">
        <is>
          <t>USEFP Fulbright Master’s &amp; PhD Scholarship Program (Pakistan Track)</t>
        </is>
      </c>
      <c r="F113" t="inlineStr">
        <is>
          <t>United States Educational Foundation in Pakistan (USEFP), HEC &amp; US Dept. of State</t>
        </is>
      </c>
      <c r="G113" t="inlineStr">
        <is>
          <t>Asia</t>
        </is>
      </c>
      <c r="H113" t="inlineStr">
        <is>
          <t>United States</t>
        </is>
      </c>
      <c r="I113" t="inlineStr">
        <is>
          <t>Master, PhD</t>
        </is>
      </c>
      <c r="J113" t="inlineStr">
        <is>
          <t>All fields</t>
        </is>
      </c>
      <c r="K113" t="inlineStr">
        <is>
          <t>Full</t>
        </is>
      </c>
      <c r="L113" t="inlineStr">
        <is>
          <t>Full Ride (100% US Tuition, Monthly Living Stipend, Textbooks, Return Airfare, Health Insurance &amp; J-1 Visa Sponsorship)</t>
        </is>
      </c>
      <c r="M113" t="inlineStr">
        <is>
          <t>Feb – Apr (Annual cycle via USEFP Islamabad portal)</t>
        </is>
      </c>
      <c r="N113" t="inlineStr">
        <is>
          <t>Pakistani citizens residing in Pakistan; 16 years of education (4-year BS or BSc+MSc) for Master’s or 18 years (MS/MPhil) for PhD; GRE General Test required; all non-clinical fields (Energy, Water, Agriculture, Public Health, Education, Social Sciences, STEM).</t>
        </is>
      </c>
      <c r="O113" t="inlineStr">
        <is>
          <t>Very High: GRE General Exam + 2 Detailed Essays (Study Objectives &amp; Personal Statement) + 3 Reference Letters + PhD Writing Sample + USEFP Interview</t>
        </is>
      </c>
      <c r="P113" t="inlineStr">
        <is>
          <t>Pakistani Graduates &amp; Professionals Seeking Fully Funded Master’s or PhDs at Top US Universities</t>
        </is>
      </c>
      <c r="Q113" t="inlineStr">
        <is>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is>
      </c>
      <c r="R113" t="inlineStr">
        <is>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is>
      </c>
      <c r="S113" t="inlineStr">
        <is>
          <t>Holistic Review of Academic Record, GRE Score &amp; Essay Depth (50%) + Regional/Gender Diversity across all Pakistani Provinces (20%) + In-Person Panel Interview in Islamabad/Karachi/Lahore (30%).</t>
        </is>
      </c>
      <c r="T113" t="inlineStr">
        <is>
          <t>Authentic Pakistani applicants—especially women and candidates from underserved regions of Punjab, Sindh, KP, Balochistan, GB, and AJK—who pair a competitive GRE score with a clear, non-generic vision for solving a real development challenge in Pakistan.</t>
        </is>
      </c>
      <c r="V113" t="inlineStr">
        <is>
          <t>https://www.usefp.org/scholarships/fulbright-degree.cfm</t>
        </is>
      </c>
      <c r="Z113" t="inlineStr">
        <is>
          <t>STEM, Research</t>
        </is>
      </c>
      <c r="AA113" s="5" t="n">
        <v>46312</v>
      </c>
      <c r="AB113" s="5" t="n">
        <v>46312</v>
      </c>
      <c r="AC113">
        <f>IF(AND(E113&lt;&gt;"",COUNTIF($E$2:$E$800,E113)&gt;1),"DUPLICATE","")</f>
        <v/>
      </c>
    </row>
    <row r="114">
      <c r="A114" t="inlineStr">
        <is>
          <t>hec-indigenous-5000-phd-fellowship-program-pakistan-phd</t>
        </is>
      </c>
      <c r="B114" t="inlineStr">
        <is>
          <t>Open</t>
        </is>
      </c>
      <c r="D114" t="inlineStr">
        <is>
          <t>Scholarship</t>
        </is>
      </c>
      <c r="E114" t="inlineStr">
        <is>
          <t>HEC Indigenous PhD Fellowship Program (Pakistan)</t>
        </is>
      </c>
      <c r="F114" t="inlineStr">
        <is>
          <t>Higher Education Commission (HEC), Government of Pakistan</t>
        </is>
      </c>
      <c r="G114" t="inlineStr">
        <is>
          <t>Asia</t>
        </is>
      </c>
      <c r="H114" t="inlineStr">
        <is>
          <t>Pakistan</t>
        </is>
      </c>
      <c r="I114" t="inlineStr">
        <is>
          <t>PhD</t>
        </is>
      </c>
      <c r="J114" t="inlineStr">
        <is>
          <t>All fields</t>
        </is>
      </c>
      <c r="K114" t="inlineStr">
        <is>
          <t>Full</t>
        </is>
      </c>
      <c r="L114" t="inlineStr">
        <is>
          <t>Full Domestic PhD Funding (100% Pakistani University Tuition + Lab Bench Fees + Monthly Stipend + Book/Thesis Grant + 6-Mo Overseas IRSIP Split-Site Eligibility)</t>
        </is>
      </c>
      <c r="M114" t="inlineStr">
        <is>
          <t>Periodic batch calls via HEC e-portal</t>
        </is>
      </c>
      <c r="N114" t="inlineStr">
        <is>
          <t>Pakistani/AJK nationals; age under 35 (or under 40 for public-sector university faculty/researchers); minimum CGPA 3.0/4.0 in MS/MPhil/18-year degree; valid HEC HAT score ≥ 60%.</t>
        </is>
      </c>
      <c r="O114" t="inlineStr">
        <is>
          <t>High: HEC e-Portal Application + HAT Qualifying Score + PhD Admission at an HEC-Recognized Pakistani University</t>
        </is>
      </c>
      <c r="P114" t="inlineStr">
        <is>
          <t>Pakistani Researchers Pursuing Fully Funded Domestic PhDs with 6-Month Overseas Lab Placement (IRSIP)</t>
        </is>
      </c>
      <c r="Q114" t="inlineStr">
        <is>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is>
      </c>
      <c r="R114" t="inlineStr">
        <is>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is>
      </c>
      <c r="S114" t="inlineStr">
        <is>
          <t>Composite Merit Formula combining Academic Record (SSC to MS/MPhil) and HAT Test Score, allocated according to Federal and Provincial/Regional quotas across Pakistan.</t>
        </is>
      </c>
      <c r="T114" t="inlineStr">
        <is>
          <t>Diligent Pakistani MS/MPhil graduates who clear the HEC HAT exam with 65%+ marks, enroll with an HEC-approved PhD supervisor at NUST, QAU, PIEAS, UET, COMSATS, or Punjab University, and later leverage IRSIP for a 6-month international lab visit.</t>
        </is>
      </c>
      <c r="V114" t="inlineStr">
        <is>
          <t>https://www.hec.gov.pk/english/scholarshipsgrants/Indigenous/</t>
        </is>
      </c>
      <c r="Z114" t="inlineStr">
        <is>
          <t>STEM, Research</t>
        </is>
      </c>
      <c r="AA114" s="5" t="n">
        <v>46312</v>
      </c>
      <c r="AB114" s="5" t="n">
        <v>46312</v>
      </c>
      <c r="AC114">
        <f>IF(AND(E114&lt;&gt;"",COUNTIF($E$2:$E$800,E114)&gt;1),"DUPLICATE","")</f>
        <v/>
      </c>
    </row>
    <row r="115">
      <c r="A115" t="inlineStr">
        <is>
          <t>british-council-pakistan-scottish-scholarship-scheme-master</t>
        </is>
      </c>
      <c r="B115" t="inlineStr">
        <is>
          <t>Open</t>
        </is>
      </c>
      <c r="D115" t="inlineStr">
        <is>
          <t>Scholarship</t>
        </is>
      </c>
      <c r="E115" t="inlineStr">
        <is>
          <t>British Council Pakistan Scottish Scholarship Scheme</t>
        </is>
      </c>
      <c r="F115" t="inlineStr">
        <is>
          <t>Scottish Government &amp; British Council Pakistan</t>
        </is>
      </c>
      <c r="G115" t="inlineStr">
        <is>
          <t>Asia</t>
        </is>
      </c>
      <c r="H115" t="inlineStr">
        <is>
          <t>Pakistan</t>
        </is>
      </c>
      <c r="I115" t="inlineStr">
        <is>
          <t>Master</t>
        </is>
      </c>
      <c r="J115" t="inlineStr">
        <is>
          <t>Education, Environment, Water &amp; Energy, Agriculture &amp; Food Security, Health &amp; Life Sciences, Engineering &amp; Technology</t>
        </is>
      </c>
      <c r="K115" t="inlineStr">
        <is>
          <t>Full</t>
        </is>
      </c>
      <c r="L115" t="inlineStr">
        <is>
          <t>Full Domestic Master’s Grant (100% Tuition Fees, University Hostel Accommodation, Travel To/From Home twice a year &amp; Study Materials)</t>
        </is>
      </c>
      <c r="M115" t="inlineStr">
        <is>
          <t>Mar – Apr (Annual call via British Council Pakistan)</t>
        </is>
      </c>
      <c r="N115" t="inlineStr">
        <is>
          <t>Female Pakistani citizens currently residing in Pakistan; holding a confirmed admission offer for a 1- or 2-year Master’s/MPhil degree at an HEC-recognized university in Pakistan in STEM, Education, Sustainable Energy, Food Security/Agriculture, or Health Sciences.</t>
        </is>
      </c>
      <c r="O115" t="inlineStr">
        <is>
          <t>Medium: Online British Council Application + Pakistani University Admission Offer + Financial Need Proof + Personal Statement</t>
        </is>
      </c>
      <c r="P115" t="inlineStr">
        <is>
          <t>Pakistani Women Pursuing Master’s/MPhil Degrees in STEM, Health, Education, or Climate/Agriculture in Pakistan</t>
        </is>
      </c>
      <c r="Q115" t="inlineStr">
        <is>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is>
      </c>
      <c r="R115" t="inlineStr">
        <is>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is>
      </c>
      <c r="S115" t="inlineStr">
        <is>
          <t>Academic Merit in Bachelor’s Degree (35%) + Demonstrated Financial Need &amp; Rural/Minority Representation (40%) + Alignment with Scottish Government Priority Fields &amp; Leadership Motivation (25%).</t>
        </is>
      </c>
      <c r="T115" t="inlineStr">
        <is>
          <t>Ambitious female graduates from across Pakistan—with special encouragement for candidates from rural areas, minority communities, and persons with disabilities—admitted to Master’s programs in renewable energy, STEM, public health, or education.</t>
        </is>
      </c>
      <c r="V115" t="inlineStr">
        <is>
          <t>https://www.britishcouncil.pk/programmes/education/scholarships</t>
        </is>
      </c>
      <c r="Z115" t="inlineStr">
        <is>
          <t>Women, STEM, Need-based</t>
        </is>
      </c>
      <c r="AA115" s="5" t="n">
        <v>46312</v>
      </c>
      <c r="AB115" s="5" t="n">
        <v>46312</v>
      </c>
      <c r="AC115">
        <f>IF(AND(E115&lt;&gt;"",COUNTIF($E$2:$E$800,E115)&gt;1),"DUPLICATE","")</f>
        <v/>
      </c>
    </row>
    <row r="116">
      <c r="A116" t="inlineStr">
        <is>
          <t>cern-summer-student-programme-switzerland</t>
        </is>
      </c>
      <c r="B116" t="inlineStr">
        <is>
          <t>Open</t>
        </is>
      </c>
      <c r="D116" t="inlineStr">
        <is>
          <t>Internship</t>
        </is>
      </c>
      <c r="E116" t="inlineStr">
        <is>
          <t>CERN Summer Student Programme</t>
        </is>
      </c>
      <c r="F116" t="inlineStr">
        <is>
          <t>European Organization for Nuclear Research (CERN) — Geneva</t>
        </is>
      </c>
      <c r="G116" t="inlineStr">
        <is>
          <t>Europe</t>
        </is>
      </c>
      <c r="H116" t="inlineStr">
        <is>
          <t>Switzerland, France</t>
        </is>
      </c>
      <c r="I116" t="inlineStr">
        <is>
          <t>Bachelor, Master</t>
        </is>
      </c>
      <c r="J116" t="inlineStr">
        <is>
          <t>Engineering &amp; Technology, Computer Science, Data &amp; AI, Mathematics &amp; Natural Sciences</t>
        </is>
      </c>
      <c r="K116" t="inlineStr">
        <is>
          <t>Full</t>
        </is>
      </c>
      <c r="L116" t="inlineStr">
        <is>
          <t>Full Stipend (CHF 93/day tax-free ~CHF 2,800/mo, Return Travel Allowance, Health Insurance, Subsidized CERN Hostel Housing)</t>
        </is>
      </c>
      <c r="M116" t="inlineStr">
        <is>
          <t>Nov – Jan 31 (Annual cycle for June–August placement)</t>
        </is>
      </c>
      <c r="N116" t="inlineStr">
        <is>
          <t>Open to all nationalities worldwide (Member, Associate &amp; Non-Member States); completed at least 3 years of full-time university study (Bachelor’s or Master’s) in Physics, Engineering, Computer Science, or Mathematics; not enrolled in a PhD; good English proficiency.</t>
        </is>
      </c>
      <c r="O116" t="inlineStr">
        <is>
          <t>Very High: Online CERN SmartRecruiters Form + Academic Transcripts + CV + 2 Reference Letters</t>
        </is>
      </c>
      <c r="P116" t="inlineStr">
        <is>
          <t>3rd/4th-Year Physics, Computing, Electronics &amp; Mechanical Engineering Students</t>
        </is>
      </c>
      <c r="Q116" t="inlineStr">
        <is>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is>
      </c>
      <c r="R116" t="inlineStr">
        <is>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is>
      </c>
      <c r="S116" t="inlineStr">
        <is>
          <t>National Quota &amp; Eligibility Verification → Technical Skill Matching by CERN Project Supervisors (Feb–Mar) → Final Selection &amp; Host Group Placement (April).</t>
        </is>
      </c>
      <c r="T116" t="inlineStr">
        <is>
          <t>Students who highlight concrete hands-on coding (Python, C++, ROOT, FPGA, CAD) or instrumentation skills in their CV and clearly state which CERN experiments or accelerator groups match their technical toolkit.</t>
        </is>
      </c>
      <c r="V116" t="inlineStr">
        <is>
          <t>https://careers.cern/summer</t>
        </is>
      </c>
      <c r="Z116" t="inlineStr">
        <is>
          <t>STEM, Research</t>
        </is>
      </c>
      <c r="AA116" s="5" t="n">
        <v>46313</v>
      </c>
      <c r="AB116" s="5" t="n">
        <v>46313</v>
      </c>
      <c r="AC116">
        <f>IF(AND(E116&lt;&gt;"",COUNTIF($E$2:$E$800,E116)&gt;1),"DUPLICATE","")</f>
        <v/>
      </c>
    </row>
    <row r="117">
      <c r="A117" t="inlineStr">
        <is>
          <t>cern-openlab-summer-student-programme-switzerland</t>
        </is>
      </c>
      <c r="B117" t="inlineStr">
        <is>
          <t>Open</t>
        </is>
      </c>
      <c r="D117" t="inlineStr">
        <is>
          <t>Internship</t>
        </is>
      </c>
      <c r="E117" t="inlineStr">
        <is>
          <t>CERN openlab Summer Student Programme</t>
        </is>
      </c>
      <c r="F117" t="inlineStr">
        <is>
          <t>European Organization for Nuclear Research (CERN) — IT &amp; Computing Division</t>
        </is>
      </c>
      <c r="G117" t="inlineStr">
        <is>
          <t>Europe</t>
        </is>
      </c>
      <c r="H117" t="inlineStr">
        <is>
          <t>Switzerland</t>
        </is>
      </c>
      <c r="I117" t="inlineStr">
        <is>
          <t>Bachelor, Master</t>
        </is>
      </c>
      <c r="J117" t="inlineStr">
        <is>
          <t>Computer Science, Data &amp; AI, Engineering &amp; Technology</t>
        </is>
      </c>
      <c r="K117" t="inlineStr">
        <is>
          <t>Full</t>
        </is>
      </c>
      <c r="L117" t="inlineStr">
        <is>
          <t>Full Stipend (CHF 93/day tax-free ~CHF 2,800/mo, Return Travel Allowance, Comprehensive Health Insurance)</t>
        </is>
      </c>
      <c r="M117" t="inlineStr">
        <is>
          <t>Nov – Jan 31 (Annual cycle for 9-week June–August placement)</t>
        </is>
      </c>
      <c r="N117" t="inlineStr">
        <is>
          <t>Open to all nationalities worldwide; Bachelor’s or Master’s students (with at least 3 years of university study completed) in Computer Science, Data Science, Software Engineering, or IT; graduating after the summer placement.</t>
        </is>
      </c>
      <c r="O117" t="inlineStr">
        <is>
          <t>Very High: CERN openlab Portal Application + Technical GitHub/Project Portfolio + Transcripts + 2 Reference Letters</t>
        </is>
      </c>
      <c r="P117" t="inlineStr">
        <is>
          <t>Top Computer Science, AI/ML, Quantum Computing &amp; High-Performance Computing Students</t>
        </is>
      </c>
      <c r="Q117" t="inlineStr">
        <is>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is>
      </c>
      <c r="R117" t="inlineStr">
        <is>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is>
      </c>
      <c r="S117" t="inlineStr">
        <is>
          <t>Automated Eligibility Check → Technical Portfolio &amp; GitHub Review by CERN IT Engineers → Supervisor Matching Across CERN openlab Industrial Partnership Projects.</t>
        </is>
      </c>
      <c r="T117" t="inlineStr">
        <is>
          <t>Software engineering and AI students with strong Linux, C++, Python, Kubernetes, or PyTorch backgrounds who showcase production-ready code repositories and scientific computing benchmarks.</t>
        </is>
      </c>
      <c r="V117" t="inlineStr">
        <is>
          <t>https://openlab.cern/education</t>
        </is>
      </c>
      <c r="Z117" t="inlineStr">
        <is>
          <t>STEM, Research, Work experience</t>
        </is>
      </c>
      <c r="AA117" s="5" t="n">
        <v>46313</v>
      </c>
      <c r="AB117" s="5" t="n">
        <v>46313</v>
      </c>
      <c r="AC117">
        <f>IF(AND(E117&lt;&gt;"",COUNTIF($E$2:$E$800,E117)&gt;1),"DUPLICATE","")</f>
        <v/>
      </c>
    </row>
    <row r="118">
      <c r="A118" t="inlineStr">
        <is>
          <t>cern-short-term-internship-programme-switzerland</t>
        </is>
      </c>
      <c r="B118" t="inlineStr">
        <is>
          <t>Open</t>
        </is>
      </c>
      <c r="D118" t="inlineStr">
        <is>
          <t>Internship</t>
        </is>
      </c>
      <c r="E118" t="inlineStr">
        <is>
          <t>CERN Short-Term Internship Programme</t>
        </is>
      </c>
      <c r="F118" t="inlineStr">
        <is>
          <t>European Organization for Nuclear Research (CERN) — Geneva</t>
        </is>
      </c>
      <c r="G118" t="inlineStr">
        <is>
          <t>Europe</t>
        </is>
      </c>
      <c r="H118" t="inlineStr">
        <is>
          <t>Switzerland</t>
        </is>
      </c>
      <c r="I118" t="inlineStr">
        <is>
          <t>Bachelor, Master</t>
        </is>
      </c>
      <c r="J118" t="inlineStr">
        <is>
          <t>Engineering &amp; Technology, Computer Science, Data &amp; AI, Business, Economics &amp; Management, Mathematics &amp; Natural Sciences</t>
        </is>
      </c>
      <c r="K118" t="inlineStr">
        <is>
          <t>Full</t>
        </is>
      </c>
      <c r="L118" t="inlineStr">
        <is>
          <t>Paid Monthly Allowance (CHF 1,577/mo single tax-free allowance for 1 to 6 months)</t>
        </is>
      </c>
      <c r="M118" t="inlineStr">
        <is>
          <t>Year-round rolling applications (Reviewed continuously as departmental slots open)</t>
        </is>
      </c>
      <c r="N118" t="inlineStr">
        <is>
          <t>Open to full-time undergraduate (technical/administrative) students worldwide aged 18+; enrolled at a recognized university where a practical training/internship period is required or supported by the curriculum; fluent in English or French.</t>
        </is>
      </c>
      <c r="O118" t="inlineStr">
        <is>
          <t>Medium: Rolling Online Application + CV + Proof of University Enrollment + Motivation Summary</t>
        </is>
      </c>
      <c r="P118" t="inlineStr">
        <is>
          <t>Undergraduate Students Seeking 1-to-6-Month Practical Technical or Administrative Internships at CERN</t>
        </is>
      </c>
      <c r="Q118" t="inlineStr">
        <is>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is>
      </c>
      <c r="R118" t="inlineStr">
        <is>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is>
      </c>
      <c r="S118" t="inlineStr">
        <is>
          <t>Continuous Rolling CV Screening by CERN Departmental Supervisors → Direct Video Interview with Host Team Leader → Offer Issuance.</t>
        </is>
      </c>
      <c r="T118" t="inlineStr">
        <is>
          <t>Undergraduate engineering and applied science students who have flexible semester schedules (e.g., mandatory industrial training semesters) and specify exact start/end dates in their application.</t>
        </is>
      </c>
      <c r="V118" t="inlineStr">
        <is>
          <t>https://careers.cern/all-student-opportunities</t>
        </is>
      </c>
      <c r="Z118" t="inlineStr">
        <is>
          <t>STEM, Work experience</t>
        </is>
      </c>
      <c r="AA118" s="5" t="n">
        <v>46313</v>
      </c>
      <c r="AB118" s="5" t="n">
        <v>46313</v>
      </c>
      <c r="AC118">
        <f>IF(AND(E118&lt;&gt;"",COUNTIF($E$2:$E$800,E118)&gt;1),"DUPLICATE","")</f>
        <v/>
      </c>
    </row>
    <row r="119">
      <c r="A119" t="inlineStr">
        <is>
          <t>daad-rise-germany-research-internships-science-engineering</t>
        </is>
      </c>
      <c r="B119" t="inlineStr">
        <is>
          <t>Open</t>
        </is>
      </c>
      <c r="D119" t="inlineStr">
        <is>
          <t>Internship</t>
        </is>
      </c>
      <c r="E119" t="inlineStr">
        <is>
          <t>DAAD RISE Germany (Research Internships in Science and Engineering)</t>
        </is>
      </c>
      <c r="F119" t="inlineStr">
        <is>
          <t>German Academic Exchange Service (DAAD) — Federal Republic of Germany</t>
        </is>
      </c>
      <c r="G119" t="inlineStr">
        <is>
          <t>Europe</t>
        </is>
      </c>
      <c r="H119" t="inlineStr">
        <is>
          <t>Germany</t>
        </is>
      </c>
      <c r="I119" t="inlineStr">
        <is>
          <t>Bachelor</t>
        </is>
      </c>
      <c r="J119" t="inlineStr">
        <is>
          <t>Engineering &amp; Technology, Computer Science, Data &amp; AI, Mathematics &amp; Natural Sciences, Health &amp; Life Sciences, Environment, Water &amp; Energy</t>
        </is>
      </c>
      <c r="K119" t="inlineStr">
        <is>
          <t>Full</t>
        </is>
      </c>
      <c r="L119" t="inlineStr">
        <is>
          <t>Full Fellowship (€992/mo Tax-Free Stipend, International Travel Allowance, Health/Accident/Liability Insurance, Paid 3-Day RISE Meeting in Heidelberg)</t>
        </is>
      </c>
      <c r="M119" t="inlineStr">
        <is>
          <t>Oct 15 – Nov 30 (Annual database window for 10-to-12-week summer placements)</t>
        </is>
      </c>
      <c r="N119" t="inlineStr">
        <is>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is>
      </c>
      <c r="O119" t="inlineStr">
        <is>
          <t>High: DAAD Portal Application + up to 3 Tailored Cover Letters to Specific German PhD Mentors + Transcripts + 1 Academic Reference</t>
        </is>
      </c>
      <c r="P119" t="inlineStr">
        <is>
          <t>2nd/3rd-Year STEM Undergraduates Seeking Mentored Lab Research at German Universities &amp; Max Planck/Helmholtz Institutes</t>
        </is>
      </c>
      <c r="Q119" t="inlineStr">
        <is>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is>
      </c>
      <c r="R119" t="inlineStr">
        <is>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is>
      </c>
      <c r="S119" t="inlineStr">
        <is>
          <t>Academic GPA &amp; Coursework Screening by DAAD → Direct Project-Fit Ranking by the Hosting German PhD Mentor → Final DAAD Match &amp; Stipend Award (Feb/March).</t>
        </is>
      </c>
      <c r="T119" t="inlineStr">
        <is>
          <t>Undergraduates who carefully read the PhD mentor's experimental setup in the RISE database and write three highly personalized cover letters explaining how their lab techniques match each specific project.</t>
        </is>
      </c>
      <c r="V119" t="inlineStr">
        <is>
          <t>https://www.daad.de/rise/en/rise-germany/</t>
        </is>
      </c>
      <c r="Z119" t="inlineStr">
        <is>
          <t>STEM, Research</t>
        </is>
      </c>
      <c r="AA119" s="5" t="n">
        <v>46313</v>
      </c>
      <c r="AB119" s="5" t="n">
        <v>46313</v>
      </c>
      <c r="AC119">
        <f>IF(AND(E119&lt;&gt;"",COUNTIF($E$2:$E$800,E119)&gt;1),"DUPLICATE","")</f>
        <v/>
      </c>
    </row>
    <row r="120">
      <c r="A120" t="inlineStr">
        <is>
          <t>daad-rise-professional-germany-industry-internship</t>
        </is>
      </c>
      <c r="B120" t="inlineStr">
        <is>
          <t>Open</t>
        </is>
      </c>
      <c r="D120" t="inlineStr">
        <is>
          <t>Internship</t>
        </is>
      </c>
      <c r="E120" t="inlineStr">
        <is>
          <t>DAAD RISE Professional (Industry &amp; R&amp;D Internships in Germany)</t>
        </is>
      </c>
      <c r="F120" t="inlineStr">
        <is>
          <t>German Academic Exchange Service (DAAD) &amp; German Corporate Partners</t>
        </is>
      </c>
      <c r="G120" t="inlineStr">
        <is>
          <t>Europe</t>
        </is>
      </c>
      <c r="H120" t="inlineStr">
        <is>
          <t>Germany</t>
        </is>
      </c>
      <c r="I120" t="inlineStr">
        <is>
          <t>Master, PhD</t>
        </is>
      </c>
      <c r="J120" t="inlineStr">
        <is>
          <t>Engineering &amp; Technology, Computer Science, Data &amp; AI, Mathematics &amp; Natural Sciences, Health &amp; Life Sciences</t>
        </is>
      </c>
      <c r="K120" t="inlineStr">
        <is>
          <t>Full</t>
        </is>
      </c>
      <c r="L120" t="inlineStr">
        <is>
          <t>Full Combined Stipend (~€1,492–€1,850+/mo combining DAAD Scholarship + Host Company Contribution, Travel Allowance, Health Insurance, DAAD Alumni Meeting)</t>
        </is>
      </c>
      <c r="M120" t="inlineStr">
        <is>
          <t>Oct 15 – Nov 30 (Annual database window for 1.5-to-6-month internships)</t>
        </is>
      </c>
      <c r="N120" t="inlineStr">
        <is>
          <t>Master’s and PhD students (or recent graduates within 6 months) enrolled at universities in North America, UK, or Ireland in STEM fields; English proficiency required (some corporate placements accept English-only, others require A2/B1 German depending on the company).</t>
        </is>
      </c>
      <c r="O120" t="inlineStr">
        <is>
          <t>High: DAAD RISE Portal Dossier + 3 Tailored Corporate Cover Letters + Reference Letter + Company Video Interview</t>
        </is>
      </c>
      <c r="P120" t="inlineStr">
        <is>
          <t>Master’s &amp; PhD STEM Students Seeking R&amp;D Internships at German Tech, Automotive, Biotech &amp; Chemical Companies</t>
        </is>
      </c>
      <c r="Q120" t="inlineStr">
        <is>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is>
      </c>
      <c r="R120" t="inlineStr">
        <is>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is>
      </c>
      <c r="S120" t="inlineStr">
        <is>
          <t>Pre-Screening by DAAD → Shortlisting &amp; Technical Video Interview by the German Host Company → Joint DAAD &amp; Corporate Offer (February/March).</t>
        </is>
      </c>
      <c r="T120" t="inlineStr">
        <is>
          <t>Graduate students in AI, renewable energy, chemical engineering, or biotechnology who combine strong academic research with practical coding or laboratory automation skills valued by German R&amp;D teams.</t>
        </is>
      </c>
      <c r="V120" t="inlineStr">
        <is>
          <t>https://www.daad.de/rise/en/rise-professional/</t>
        </is>
      </c>
      <c r="Z120" t="inlineStr">
        <is>
          <t>STEM, Work experience</t>
        </is>
      </c>
      <c r="AA120" s="5" t="n">
        <v>46313</v>
      </c>
      <c r="AB120" s="5" t="n">
        <v>46313</v>
      </c>
      <c r="AC120">
        <f>IF(AND(E120&lt;&gt;"",COUNTIF($E$2:$E$800,E120)&gt;1),"DUPLICATE","")</f>
        <v/>
      </c>
    </row>
    <row r="121">
      <c r="A121" t="inlineStr">
        <is>
          <t>ista-isternship-summer-program-austria</t>
        </is>
      </c>
      <c r="B121" t="inlineStr">
        <is>
          <t>Open</t>
        </is>
      </c>
      <c r="D121" t="inlineStr">
        <is>
          <t>Internship</t>
        </is>
      </c>
      <c r="E121" t="inlineStr">
        <is>
          <t>ISTA ISTernship Summer Research Program</t>
        </is>
      </c>
      <c r="F121" t="inlineStr">
        <is>
          <t>Institute of Science and Technology Austria (ISTA) — Klosterneuburg / Vienna</t>
        </is>
      </c>
      <c r="G121" t="inlineStr">
        <is>
          <t>Europe</t>
        </is>
      </c>
      <c r="H121" t="inlineStr">
        <is>
          <t>Austria</t>
        </is>
      </c>
      <c r="I121" t="inlineStr">
        <is>
          <t>Bachelor, Master</t>
        </is>
      </c>
      <c r="J121" t="inlineStr">
        <is>
          <t>Computer Science, Data &amp; AI, Mathematics &amp; Natural Sciences, Health &amp; Life Sciences, Engineering &amp; Technology</t>
        </is>
      </c>
      <c r="K121" t="inlineStr">
        <is>
          <t>Full</t>
        </is>
      </c>
      <c r="L121" t="inlineStr">
        <is>
          <t>Full Fellowship (€1,150/mo Stipend, Round-Trip Travel Costs, Subsidized Campus Housing, Health Insurance, Shuttle Bus to Vienna)</t>
        </is>
      </c>
      <c r="M121" t="inlineStr">
        <is>
          <t>Dec – Feb 5 (Annual cycle for 2-to-3-month summer placement between May and September)</t>
        </is>
      </c>
      <c r="N121" t="inlineStr">
        <is>
          <t>Open to all nationalities worldwide; Bachelor’s or Master’s students who have completed at least the 4th semester of a Bachelor’s degree before the start date in Biology, Neuroscience, Computer Science, Data Science, Mathematics, Physics, Chemistry, or Earth Science.</t>
        </is>
      </c>
      <c r="O121" t="inlineStr">
        <is>
          <t>Very High: Online ISTA Application + Statement of Purpose + Selection of 1–2 ISTA Professors + Transcripts + 2 Reference Letters</t>
        </is>
      </c>
      <c r="P121" t="inlineStr">
        <is>
          <t>Research-Driven Bachelor’s &amp; Master’s Students Targeting Direct PhD Admission in Europe</t>
        </is>
      </c>
      <c r="Q121" t="inlineStr">
        <is>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is>
      </c>
      <c r="R121" t="inlineStr">
        <is>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is>
      </c>
      <c r="S121" t="inlineStr">
        <is>
          <t>Central Academic Screening → Direct Evaluation &amp; Shortlisting by Target ISTA Professors → Video Interview with Host Lab (March) → Final Fellowship Offer.</t>
        </is>
      </c>
      <c r="T121" t="inlineStr">
        <is>
          <t>Ambitious 3rd-year Bachelor’s and 1st-year Master’s students who analyze recent publications of their chosen ISTA professor and demonstrate strong potential for ISTA's interdisciplinary PhD track.</t>
        </is>
      </c>
      <c r="V121" t="inlineStr">
        <is>
          <t>https://phd.pages.ist.ac.at/isternship/</t>
        </is>
      </c>
      <c r="Z121" t="inlineStr">
        <is>
          <t>STEM, Research</t>
        </is>
      </c>
      <c r="AA121" s="5" t="n">
        <v>46313</v>
      </c>
      <c r="AB121" s="5" t="n">
        <v>46313</v>
      </c>
      <c r="AC121">
        <f>IF(AND(E121&lt;&gt;"",COUNTIF($E$2:$E$800,E121)&gt;1),"DUPLICATE","")</f>
        <v/>
      </c>
    </row>
    <row r="122">
      <c r="A122" t="inlineStr">
        <is>
          <t>epfl-e3-excellence-in-engineering-summer-programme-switzerland</t>
        </is>
      </c>
      <c r="B122" t="inlineStr">
        <is>
          <t>Open</t>
        </is>
      </c>
      <c r="D122" t="inlineStr">
        <is>
          <t>Internship</t>
        </is>
      </c>
      <c r="E122" t="inlineStr">
        <is>
          <t>EPFL Excellence in Engineering (E3) Summer Research Program</t>
        </is>
      </c>
      <c r="F122" t="inlineStr">
        <is>
          <t>École Polytechnique Fédérale de Lausanne (EPFL) — School of Engineering</t>
        </is>
      </c>
      <c r="G122" t="inlineStr">
        <is>
          <t>Europe</t>
        </is>
      </c>
      <c r="H122" t="inlineStr">
        <is>
          <t>Switzerland</t>
        </is>
      </c>
      <c r="I122" t="inlineStr">
        <is>
          <t>Bachelor, Master</t>
        </is>
      </c>
      <c r="J122" t="inlineStr">
        <is>
          <t>Engineering &amp; Technology, Computer Science, Data &amp; AI, Mathematics &amp; Natural Sciences</t>
        </is>
      </c>
      <c r="K122" t="inlineStr">
        <is>
          <t>Full</t>
        </is>
      </c>
      <c r="L122" t="inlineStr">
        <is>
          <t>Full Fellowship (CHF 1,800/mo Living Stipend for 2–3 months, Return Economy Airfare/Train Ticket, Pre-booked Student Housing)</t>
        </is>
      </c>
      <c r="M122" t="inlineStr">
        <is>
          <t>Sep – Dec 1 (Early annual deadline for 8-to-12-week summer research)</t>
        </is>
      </c>
      <c r="N122" t="inlineStr">
        <is>
          <t>Open to all nationalities worldwide; enrolled in the 3rd or 4th year of a Bachelor’s or 1st year of a Master’s program in Electrical, Mechanical, Materials, Microengineering, Bioengineering, Chemical Engineering, or related STEM fields; top 10% class ranking.</t>
        </is>
      </c>
      <c r="O122" t="inlineStr">
        <is>
          <t>Very High: EPFL E3 Portal Application + Lab Choice Ranking (up to 3 EPFL Labs) + Motivation Letter + Transcripts + 2 Reference Letters</t>
        </is>
      </c>
      <c r="P122" t="inlineStr">
        <is>
          <t>Top-Decile Engineering &amp; Materials Science Students Seeking Swiss Lab Experience</t>
        </is>
      </c>
      <c r="Q122" t="inlineStr">
        <is>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is>
      </c>
      <c r="R122" t="inlineStr">
        <is>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is>
      </c>
      <c r="S122" t="inlineStr">
        <is>
          <t>Academic Ranking &amp; GPA Triage → Lab-Specific Review by EPFL Principal Investigators (Dec–Jan) → Direct Lab Offer Notifications by late February.</t>
        </is>
      </c>
      <c r="T122" t="inlineStr">
        <is>
          <t>Hands-on engineering students with top grades and prior undergraduate lab or design-team experience who apply before the early December 1 cutoff.</t>
        </is>
      </c>
      <c r="V122" t="inlineStr">
        <is>
          <t>https://eee.epfl.ch/</t>
        </is>
      </c>
      <c r="Z122" t="inlineStr">
        <is>
          <t>STEM, Research</t>
        </is>
      </c>
      <c r="AA122" s="5" t="n">
        <v>46313</v>
      </c>
      <c r="AB122" s="5" t="n">
        <v>46313</v>
      </c>
      <c r="AC122">
        <f>IF(AND(E122&lt;&gt;"",COUNTIF($E$2:$E$800,E122)&gt;1),"DUPLICATE","")</f>
        <v/>
      </c>
    </row>
    <row r="123">
      <c r="A123" t="inlineStr">
        <is>
          <t>epfl-summer-in-the-lab-ic-computer-science-switzerland</t>
        </is>
      </c>
      <c r="B123" t="inlineStr">
        <is>
          <t>Open</t>
        </is>
      </c>
      <c r="D123" t="inlineStr">
        <is>
          <t>Internship</t>
        </is>
      </c>
      <c r="E123" t="inlineStr">
        <is>
          <t>EPFL Summer@EPFL (School of Computer and Communication Sciences)</t>
        </is>
      </c>
      <c r="F123" t="inlineStr">
        <is>
          <t>École Polytechnique Fédérale de Lausanne (EPFL) — IC School</t>
        </is>
      </c>
      <c r="G123" t="inlineStr">
        <is>
          <t>Europe</t>
        </is>
      </c>
      <c r="H123" t="inlineStr">
        <is>
          <t>Switzerland</t>
        </is>
      </c>
      <c r="I123" t="inlineStr">
        <is>
          <t>Bachelor, Master</t>
        </is>
      </c>
      <c r="J123" t="inlineStr">
        <is>
          <t>Computer Science, Data &amp; AI, Engineering &amp; Technology, Mathematics &amp; Natural Sciences</t>
        </is>
      </c>
      <c r="K123" t="inlineStr">
        <is>
          <t>Full</t>
        </is>
      </c>
      <c r="L123" t="inlineStr">
        <is>
          <t>Full Fellowship (CHF 1,800/mo Living Stipend, Refund of Full Return Travel Costs, Housing Assistance)</t>
        </is>
      </c>
      <c r="M123" t="inlineStr">
        <is>
          <t>Oct – Dec 1 (Annual early December Sunday deadline for 2–3 month summer projects)</t>
        </is>
      </c>
      <c r="N123" t="inlineStr">
        <is>
          <t>Open to all nationalities worldwide; currently enrolled in a BSc, BTech, MSc, or MTech program in Computer Science, Computer Engineering, Data Science, Telecommunications, or Electrical Engineering; must be in at least the 2nd year of Bachelor’s at time of application.</t>
        </is>
      </c>
      <c r="O123" t="inlineStr">
        <is>
          <t>Very High: Online IC Portal Application + Statement of Purpose + GPA Transcripts + CV + Lab Preferences</t>
        </is>
      </c>
      <c r="P123" t="inlineStr">
        <is>
          <t>Elite Computer Science, AI, Systems, Cryptography &amp; Cybersecurity Students</t>
        </is>
      </c>
      <c r="Q123" t="inlineStr">
        <is>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is>
      </c>
      <c r="R123" t="inlineStr">
        <is>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is>
      </c>
      <c r="S123" t="inlineStr">
        <is>
          <t>Holistic Review of GPA &amp; University Rigor → Technical Screening by EPFL IC Faculty → Video Interview with Host Professor (Jan–Feb) → Fellowship Award.</t>
        </is>
      </c>
      <c r="T123" t="inlineStr">
        <is>
          <t>Top-1% CS and AI students who have already built strong coding/research projects or competitive math/algorithmic portfolios and articulate a sharp research vision for an EPFL IC lab.</t>
        </is>
      </c>
      <c r="V123" t="inlineStr">
        <is>
          <t>https://ic.epfl.ch/summer-in-the-lab/</t>
        </is>
      </c>
      <c r="Z123" t="inlineStr">
        <is>
          <t>STEM, Research</t>
        </is>
      </c>
      <c r="AA123" s="5" t="n">
        <v>46313</v>
      </c>
      <c r="AB123" s="5" t="n">
        <v>46313</v>
      </c>
      <c r="AC123">
        <f>IF(AND(E123&lt;&gt;"",COUNTIF($E$2:$E$800,E123)&gt;1),"DUPLICATE","")</f>
        <v/>
      </c>
    </row>
    <row r="124">
      <c r="A124" t="inlineStr">
        <is>
          <t>epfl-school-of-life-sciences-summer-research-program-srp-switzerland</t>
        </is>
      </c>
      <c r="B124" t="inlineStr">
        <is>
          <t>Open</t>
        </is>
      </c>
      <c r="D124" t="inlineStr">
        <is>
          <t>Internship</t>
        </is>
      </c>
      <c r="E124" t="inlineStr">
        <is>
          <t>EPFL School of Life Sciences Summer Research Program (SRP)</t>
        </is>
      </c>
      <c r="F124" t="inlineStr">
        <is>
          <t>École Polytechnique Fédérale de Lausanne (EPFL) — School of Life Sciences</t>
        </is>
      </c>
      <c r="G124" t="inlineStr">
        <is>
          <t>Europe</t>
        </is>
      </c>
      <c r="H124" t="inlineStr">
        <is>
          <t>Switzerland</t>
        </is>
      </c>
      <c r="I124" t="inlineStr">
        <is>
          <t>Bachelor, Master</t>
        </is>
      </c>
      <c r="J124" t="inlineStr">
        <is>
          <t>Health &amp; Life Sciences, Engineering &amp; Technology, Computer Science, Data &amp; AI, Mathematics &amp; Natural Sciences</t>
        </is>
      </c>
      <c r="K124" t="inlineStr">
        <is>
          <t>Full</t>
        </is>
      </c>
      <c r="L124" t="inlineStr">
        <is>
          <t>Full Fellowship (CHF 3,600 Total Stipend for 8 weeks including Pre-booked Housing in Lausanne + up to CHF 1,000 Return Travel Reimbursement)</t>
        </is>
      </c>
      <c r="M124" t="inlineStr">
        <is>
          <t>Sep – Jan 31 (Annual cycle for 8-week July–August intensive residency)</t>
        </is>
      </c>
      <c r="N124" t="inlineStr">
        <is>
          <t>Open to all nationalities worldwide; completed at least 2 years of a Bachelor’s degree (or 1st year of a Master’s) in Biology, Bioengineering, Bioinformatics, Biophysics, Chemistry, Medicine, or quantitative sciences; GPA in the top 5–10% of cohort.</t>
        </is>
      </c>
      <c r="O124" t="inlineStr">
        <is>
          <t>Very High: Online SRP Dossier + Lab Preference Essays (3 Labs) + Transcripts + CV + 2 Confidential Reference Letters</t>
        </is>
      </c>
      <c r="P124" t="inlineStr">
        <is>
          <t>Top Life Sciences, Bioengineering, Neuroscience &amp; Computational Biology Undergraduates</t>
        </is>
      </c>
      <c r="Q124" t="inlineStr">
        <is>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is>
      </c>
      <c r="R124" t="inlineStr">
        <is>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is>
      </c>
      <c r="S124" t="inlineStr">
        <is>
          <t>Initial Academic &amp; Lab-Experience Triage → Evaluation by EPFL Life Sciences Selection Committee &amp; Lab Heads → Final Matching &amp; Acceptance (March).</t>
        </is>
      </c>
      <c r="T124" t="inlineStr">
        <is>
          <t>Students who already possess at least one prior wet-lab or computational biology research experience and clearly explain why they want to tackle a specific molecular, neural, or bioengineering question at EPFL.</t>
        </is>
      </c>
      <c r="V124" t="inlineStr">
        <is>
          <t>https://www.epfl.ch/schools/sv/education/summer-research-program/</t>
        </is>
      </c>
      <c r="Z124" t="inlineStr">
        <is>
          <t>STEM, Research</t>
        </is>
      </c>
      <c r="AA124" s="5" t="n">
        <v>46313</v>
      </c>
      <c r="AB124" s="5" t="n">
        <v>46313</v>
      </c>
      <c r="AC124">
        <f>IF(AND(E124&lt;&gt;"",COUNTIF($E$2:$E$800,E124)&gt;1),"DUPLICATE","")</f>
        <v/>
      </c>
    </row>
    <row r="125">
      <c r="A125" t="inlineStr">
        <is>
          <t>eth-zurich-student-summer-research-fellowship-ssrf-switzerland</t>
        </is>
      </c>
      <c r="B125" t="inlineStr">
        <is>
          <t>Open</t>
        </is>
      </c>
      <c r="D125" t="inlineStr">
        <is>
          <t>Internship</t>
        </is>
      </c>
      <c r="E125" t="inlineStr">
        <is>
          <t>ETH Zurich Student Summer Research Fellowship (ETH SSRF)</t>
        </is>
      </c>
      <c r="F125" t="inlineStr">
        <is>
          <t>ETH Zurich — Computer Science Department (D-INFK) &amp; Werner Siemens-Stiftung</t>
        </is>
      </c>
      <c r="G125" t="inlineStr">
        <is>
          <t>Europe</t>
        </is>
      </c>
      <c r="H125" t="inlineStr">
        <is>
          <t>Switzerland</t>
        </is>
      </c>
      <c r="I125" t="inlineStr">
        <is>
          <t>Bachelor, Master</t>
        </is>
      </c>
      <c r="J125" t="inlineStr">
        <is>
          <t>Computer Science, Data &amp; AI, Engineering &amp; Technology, Mathematics &amp; Natural Sciences</t>
        </is>
      </c>
      <c r="K125" t="inlineStr">
        <is>
          <t>Full</t>
        </is>
      </c>
      <c r="L125" t="inlineStr">
        <is>
          <t>Full Fellowship (CHF 4,000 Total Stipend / CHF 2,000/mo + Full Travel &amp; Visa Cost Reimbursement + Pre-arranged Student Room in Zurich)</t>
        </is>
      </c>
      <c r="M125" t="inlineStr">
        <is>
          <t>Nov 1 – Dec 15 (Annual cycle for 2-month July–August fellowship)</t>
        </is>
      </c>
      <c r="N125" t="inlineStr">
        <is>
          <t>Open to all nationalities worldwide; enrolled in a Bachelor’s or Master’s program in Computer Science, Data Science, Electrical Engineering, Mathematics, or Physics; expected graduation date in the year following the fellowship or later; completed at least 2 years of study.</t>
        </is>
      </c>
      <c r="O125" t="inlineStr">
        <is>
          <t>Very High: SiROP Portal Application + Motivation Letter + Official Transcript + CV + Research Area Selection</t>
        </is>
      </c>
      <c r="P125" t="inlineStr">
        <is>
          <t>Exceptional Computer Science, Machine Learning, Robotics &amp; Visual Computing Students</t>
        </is>
      </c>
      <c r="Q125" t="inlineStr">
        <is>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is>
      </c>
      <c r="R125" t="inlineStr">
        <is>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is>
      </c>
      <c r="S125" t="inlineStr">
        <is>
          <t>Committee Review of Academic Excellence &amp; Technical Portfolio → Shortlisting by ETH D-INFK Professors → Online Technical Interview (Jan–Feb) → Fellowship Offer.</t>
        </is>
      </c>
      <c r="T125" t="inlineStr">
        <is>
          <t>Students with strong theoretical and coding foundations (ML theory, computer graphics, systems security, or algorithms) who reference specific papers by ETH D-INFK faculty in their motivation letter.</t>
        </is>
      </c>
      <c r="V125" t="inlineStr">
        <is>
          <t>https://inf.ethz.ch/studies/summer-research-fellowship.html</t>
        </is>
      </c>
      <c r="Z125" t="inlineStr">
        <is>
          <t>STEM, Research</t>
        </is>
      </c>
      <c r="AA125" s="5" t="n">
        <v>46313</v>
      </c>
      <c r="AB125" s="5" t="n">
        <v>46313</v>
      </c>
      <c r="AC125">
        <f>IF(AND(E125&lt;&gt;"",COUNTIF($E$2:$E$800,E125)&gt;1),"DUPLICATE","")</f>
        <v/>
      </c>
    </row>
    <row r="126">
      <c r="A126" t="inlineStr">
        <is>
          <t>desy-summer-student-programme-hamburg-zeuthen-germany</t>
        </is>
      </c>
      <c r="B126" t="inlineStr">
        <is>
          <t>Open</t>
        </is>
      </c>
      <c r="D126" t="inlineStr">
        <is>
          <t>Internship</t>
        </is>
      </c>
      <c r="E126" t="inlineStr">
        <is>
          <t>DESY Summer Student Programme</t>
        </is>
      </c>
      <c r="F126" t="inlineStr">
        <is>
          <t>Deutsches Elektronen-Synchrotron (DESY) — Helmholtz Association (Hamburg &amp; Zeuthen)</t>
        </is>
      </c>
      <c r="G126" t="inlineStr">
        <is>
          <t>Europe</t>
        </is>
      </c>
      <c r="H126" t="inlineStr">
        <is>
          <t>Germany</t>
        </is>
      </c>
      <c r="I126" t="inlineStr">
        <is>
          <t>Bachelor, Master</t>
        </is>
      </c>
      <c r="J126" t="inlineStr">
        <is>
          <t>Mathematics &amp; Natural Sciences, Engineering &amp; Technology, Computer Science, Data &amp; AI</t>
        </is>
      </c>
      <c r="K126" t="inlineStr">
        <is>
          <t>Full</t>
        </is>
      </c>
      <c r="L126" t="inlineStr">
        <is>
          <t>Full Stipend (€1,200/mo Subsistence Allowance + Free Onsite Hostel Accommodation + Partial/Full Travel Cost Subsidy)</t>
        </is>
      </c>
      <c r="M126" t="inlineStr">
        <is>
          <t>Dec – Jan 31 (Annual cycle for 8-week July–September program)</t>
        </is>
      </c>
      <c r="N126" t="inlineStr">
        <is>
          <t>Open to all nationalities worldwide; completed at least 3 years of full-time university study (Bachelor’s or Master’s) in Physics, Chemistry, Crystallography, Structural Biology, Photon Science, Engineering, or Computing; not yet enrolled in a PhD.</t>
        </is>
      </c>
      <c r="O126" t="inlineStr">
        <is>
          <t>High: Online DESY Application + CV + University Transcripts + 2 Reference Letters + Research Track Choice (Accelerators, Photon Science, Particle/Astroparticle Physics, Computing)</t>
        </is>
      </c>
      <c r="P126" t="inlineStr">
        <is>
          <t>Physics, Photon Science, Materials &amp; Scientific Computing Students</t>
        </is>
      </c>
      <c r="Q126" t="inlineStr">
        <is>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is>
      </c>
      <c r="R126" t="inlineStr">
        <is>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is>
      </c>
      <c r="S126" t="inlineStr">
        <is>
          <t>Eligibility &amp; Nationality Quota Check → Matching by DESY Group Leaders based on Technical Skills &amp; Coursework (Feb–Mar) → Official Invitation Letter for Visa &amp; Placement.</t>
        </is>
      </c>
      <c r="T126" t="inlineStr">
        <is>
          <t>Physics, materials science, and scientific computing students who demonstrate hands-on experience in data analysis, optics, solid-state physics, or detector instrumentation.</t>
        </is>
      </c>
      <c r="V126" t="inlineStr">
        <is>
          <t>https://summerstudents.desy.de/</t>
        </is>
      </c>
      <c r="Z126" t="inlineStr">
        <is>
          <t>STEM, Research</t>
        </is>
      </c>
      <c r="AA126" s="5" t="n">
        <v>46313</v>
      </c>
      <c r="AB126" s="5" t="n">
        <v>46313</v>
      </c>
      <c r="AC126">
        <f>IF(AND(E126&lt;&gt;"",COUNTIF($E$2:$E$800,E126)&gt;1),"DUPLICATE","")</f>
        <v/>
      </c>
    </row>
    <row r="127">
      <c r="A127" t="inlineStr">
        <is>
          <t>max-planck-institute-for-software-systems-mpi-sws-internships-germany</t>
        </is>
      </c>
      <c r="B127" t="inlineStr">
        <is>
          <t>Open</t>
        </is>
      </c>
      <c r="D127" t="inlineStr">
        <is>
          <t>Internship</t>
        </is>
      </c>
      <c r="E127" t="inlineStr">
        <is>
          <t>Max Planck Institute for Software Systems (MPI-SWS) Research Internships</t>
        </is>
      </c>
      <c r="F127" t="inlineStr">
        <is>
          <t>Max Planck Society — MPI-SWS Kaiserslautern &amp; Saarbrücken</t>
        </is>
      </c>
      <c r="G127" t="inlineStr">
        <is>
          <t>Europe</t>
        </is>
      </c>
      <c r="H127" t="inlineStr">
        <is>
          <t>Germany</t>
        </is>
      </c>
      <c r="I127" t="inlineStr">
        <is>
          <t>Bachelor, Master, PhD</t>
        </is>
      </c>
      <c r="J127" t="inlineStr">
        <is>
          <t>Computer Science, Data &amp; AI, Engineering &amp; Technology, Mathematics &amp; Natural Sciences</t>
        </is>
      </c>
      <c r="K127" t="inlineStr">
        <is>
          <t>Full</t>
        </is>
      </c>
      <c r="L127" t="inlineStr">
        <is>
          <t>Full Monthly Stipend (Covers all living and housing costs in Germany + Round-Trip Travel Reimbursement + Visa Assistance)</t>
        </is>
      </c>
      <c r="M127" t="inlineStr">
        <is>
          <t>Nov 30 (For Summer internships) / Rolling year-round (For Fall/Winter/Spring 12-to-14-week internships)</t>
        </is>
      </c>
      <c r="N127" t="inlineStr">
        <is>
          <t>Open to all nationalities worldwide; outstanding Bachelor’s, Master’s, or PhD students in Computer Science, Electrical Engineering, Mathematics, or related areas; exceptional academic record; working language is 100% English.</t>
        </is>
      </c>
      <c r="O127" t="inlineStr">
        <is>
          <t>Very High: Online MPI-SWS Portal Application + Research Statement + Transcripts + CV + Reference Contacts</t>
        </is>
      </c>
      <c r="P127" t="inlineStr">
        <is>
          <t>Top-Tier Computer Science Students Interested in AI, Distributed Systems, Security &amp; Programming Languages</t>
        </is>
      </c>
      <c r="Q127" t="inlineStr">
        <is>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is>
      </c>
      <c r="R127" t="inlineStr">
        <is>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is>
      </c>
      <c r="S127" t="inlineStr">
        <is>
          <t>Faculty Review of Academic Record &amp; Technical Fit → 1-on-1 Online Technical &amp; Research Interview with Prospective MPI-SWS Faculty Mentor → Paid Internship Offer.</t>
        </is>
      </c>
      <c r="T127" t="inlineStr">
        <is>
          <t>Strong theoretical and systems-oriented CS students who want to co-author a top-tier conference paper (NeurIPS, ICML, OSDI, SOSP, POPL, IEEE S&amp;P) before applying for a PhD.</t>
        </is>
      </c>
      <c r="V127" t="inlineStr">
        <is>
          <t>https://www.mpi-sws.org/research-careers/#internships</t>
        </is>
      </c>
      <c r="Z127" t="inlineStr">
        <is>
          <t>STEM, Research</t>
        </is>
      </c>
      <c r="AA127" s="5" t="n">
        <v>46313</v>
      </c>
      <c r="AB127" s="5" t="n">
        <v>46313</v>
      </c>
      <c r="AC127">
        <f>IF(AND(E127&lt;&gt;"",COUNTIF($E$2:$E$800,E127)&gt;1),"DUPLICATE","")</f>
        <v/>
      </c>
    </row>
    <row r="128">
      <c r="A128" t="inlineStr">
        <is>
          <t>biozentrum-basel-international-summer-research-program-switzerland</t>
        </is>
      </c>
      <c r="B128" t="inlineStr">
        <is>
          <t>Open</t>
        </is>
      </c>
      <c r="D128" t="inlineStr">
        <is>
          <t>Internship</t>
        </is>
      </c>
      <c r="E128" t="inlineStr">
        <is>
          <t>Biozentrum Basel International Summer Research Program</t>
        </is>
      </c>
      <c r="F128" t="inlineStr">
        <is>
          <t>Biozentrum, University of Basel — Basel</t>
        </is>
      </c>
      <c r="G128" t="inlineStr">
        <is>
          <t>Europe</t>
        </is>
      </c>
      <c r="H128" t="inlineStr">
        <is>
          <t>Switzerland</t>
        </is>
      </c>
      <c r="I128" t="inlineStr">
        <is>
          <t>Bachelor</t>
        </is>
      </c>
      <c r="J128" t="inlineStr">
        <is>
          <t>Health &amp; Life Sciences, Mathematics &amp; Natural Sciences, Computer Science, Data &amp; AI, Engineering &amp; Technology</t>
        </is>
      </c>
      <c r="K128" t="inlineStr">
        <is>
          <t>Full</t>
        </is>
      </c>
      <c r="L128" t="inlineStr">
        <is>
          <t>Full Fellowship (CHF 1,400–1,800 Living Stipend + Free Hotel/Student Housing in Basel + Travel Reimbursement + Social/Cultural Events)</t>
        </is>
      </c>
      <c r="M128" t="inlineStr">
        <is>
          <t>Jan – Feb 20 (Annual cycle for 7-to-9-week July–August placement)</t>
        </is>
      </c>
      <c r="N128" t="inlineStr">
        <is>
          <t>Open to all nationalities worldwide; currently enrolled in a Bachelor’s degree program (typically completing 2nd or 3rd year) in Biology, Nanoscience, Chemistry, Physics, Computational Biology, or Mathematics.</t>
        </is>
      </c>
      <c r="O128" t="inlineStr">
        <is>
          <t>Very High: Online Application + Motivation Statement + CV + Transcripts + 1–2 Reference Letters</t>
        </is>
      </c>
      <c r="P128" t="inlineStr">
        <is>
          <t>Interdisciplinary Undergraduate Students in Molecular Biology, Biophysics, Structural Biology &amp; Neuroscience</t>
        </is>
      </c>
      <c r="Q128" t="inlineStr">
        <is>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is>
      </c>
      <c r="R128" t="inlineStr">
        <is>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is>
      </c>
      <c r="S128" t="inlineStr">
        <is>
          <t>Selection Committee Review of GPA &amp; Prior Lab Experience → Host Group Leader Matching → Fellowship Notification in March.</t>
        </is>
      </c>
      <c r="T128" t="inlineStr">
        <is>
          <t>Undergraduates in biology, physics, chemistry, or bioinformatics who want hands-on wet-lab or cryo-EM/computational research in Europe’s pharmaceutical and biotech capital.</t>
        </is>
      </c>
      <c r="V128" t="inlineStr">
        <is>
          <t>https://www.biozentrum.unibas.ch/education/degree-programs/bachelor-of-science/summer-research-program</t>
        </is>
      </c>
      <c r="Z128" t="inlineStr">
        <is>
          <t>STEM, Research</t>
        </is>
      </c>
      <c r="AA128" s="5" t="n">
        <v>46313</v>
      </c>
      <c r="AB128" s="5" t="n">
        <v>46313</v>
      </c>
      <c r="AC128">
        <f>IF(AND(E128&lt;&gt;"",COUNTIF($E$2:$E$800,E128)&gt;1),"DUPLICATE","")</f>
        <v/>
      </c>
    </row>
    <row r="129">
      <c r="A129" t="inlineStr">
        <is>
          <t>vienna-biocenter-summer-school-austria</t>
        </is>
      </c>
      <c r="B129" t="inlineStr">
        <is>
          <t>Open</t>
        </is>
      </c>
      <c r="D129" t="inlineStr">
        <is>
          <t>Internship</t>
        </is>
      </c>
      <c r="E129" t="inlineStr">
        <is>
          <t>Vienna BioCenter Summer School</t>
        </is>
      </c>
      <c r="F129" t="inlineStr">
        <is>
          <t>Vienna BioCenter (IMP, IMBA, GMI, Max Perutz Labs) &amp; Boehringer Ingelheim Stiftung</t>
        </is>
      </c>
      <c r="G129" t="inlineStr">
        <is>
          <t>Europe</t>
        </is>
      </c>
      <c r="H129" t="inlineStr">
        <is>
          <t>Austria</t>
        </is>
      </c>
      <c r="I129" t="inlineStr">
        <is>
          <t>Bachelor, Master</t>
        </is>
      </c>
      <c r="J129" t="inlineStr">
        <is>
          <t>Health &amp; Life Sciences, Computer Science, Data &amp; AI</t>
        </is>
      </c>
      <c r="K129" t="inlineStr">
        <is>
          <t>Full</t>
        </is>
      </c>
      <c r="L129" t="inlineStr">
        <is>
          <t>Full Ride (€1,400 Tax-Free Stipend for 9 weeks, Free Student Accommodation in Vienna, Return International Travel Covered, Free Public Transit Pass)</t>
        </is>
      </c>
      <c r="M129" t="inlineStr">
        <is>
          <t>Dec 1 – Jan 15 (Annual cycle for 9-week July–August summer school)</t>
        </is>
      </c>
      <c r="N129" t="inlineStr">
        <is>
          <t>Open to all nationalities worldwide; completed at least 2 years of university study (in Year 3 of a 3-or-4-year Bachelor’s or Year 1–2 of a Master’s) in a Life Science related subject (Molecular Biology, Neuroscience, Immunology, Bioinformatics, Biochemistry).</t>
        </is>
      </c>
      <c r="O129" t="inlineStr">
        <is>
          <t>Very High: Online Portal Application + Statement of Research Interest + Preferred Lab Selection + Transcripts + 2 Reference Details</t>
        </is>
      </c>
      <c r="P129" t="inlineStr">
        <is>
          <t>Ambitious Molecular Biology, Genetics, Immunology &amp; Neuroscience Students</t>
        </is>
      </c>
      <c r="Q129" t="inlineStr">
        <is>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is>
      </c>
      <c r="R129" t="inlineStr">
        <is>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is>
      </c>
      <c r="S129" t="inlineStr">
        <is>
          <t>Initial Screening of Academic Excellence &amp; Previous Lab Experience → Direct Selection by Participating Vienna BioCenter Group Leaders → Notification by March 1.</t>
        </is>
      </c>
      <c r="T129" t="inlineStr">
        <is>
          <t>Students who already have at least 3 months of prior wet-lab or bioinformatics research experience and articulate a deep curiosity for molecular mechanisms.</t>
        </is>
      </c>
      <c r="V129" t="inlineStr">
        <is>
          <t>https://training.vbc.ac.at/summer-school/</t>
        </is>
      </c>
      <c r="Z129" t="inlineStr">
        <is>
          <t>STEM, Research</t>
        </is>
      </c>
      <c r="AA129" s="5" t="n">
        <v>46313</v>
      </c>
      <c r="AB129" s="5" t="n">
        <v>46313</v>
      </c>
      <c r="AC129">
        <f>IF(AND(E129&lt;&gt;"",COUNTIF($E$2:$E$800,E129)&gt;1),"DUPLICATE","")</f>
        <v/>
      </c>
    </row>
    <row r="130">
      <c r="A130" t="inlineStr">
        <is>
          <t>eso-summer-research-programme-garching-germany</t>
        </is>
      </c>
      <c r="B130" t="inlineStr">
        <is>
          <t>Open</t>
        </is>
      </c>
      <c r="D130" t="inlineStr">
        <is>
          <t>Internship</t>
        </is>
      </c>
      <c r="E130" t="inlineStr">
        <is>
          <t>ESO Summer Research Programme (European Southern Observatory)</t>
        </is>
      </c>
      <c r="F130" t="inlineStr">
        <is>
          <t>European Southern Observatory (ESO) — Headquarters in Garching near Munich</t>
        </is>
      </c>
      <c r="G130" t="inlineStr">
        <is>
          <t>Europe</t>
        </is>
      </c>
      <c r="H130" t="inlineStr">
        <is>
          <t>Germany</t>
        </is>
      </c>
      <c r="I130" t="inlineStr">
        <is>
          <t>Bachelor, Master</t>
        </is>
      </c>
      <c r="J130" t="inlineStr">
        <is>
          <t>Mathematics &amp; Natural Sciences, Engineering &amp; Technology, Computer Science, Data &amp; AI</t>
        </is>
      </c>
      <c r="K130" t="inlineStr">
        <is>
          <t>Full</t>
        </is>
      </c>
      <c r="L130" t="inlineStr">
        <is>
          <t>Full Fellowship (Tax-Free Stipend covering living costs in Munich + Free Apartment Accommodation in Garching + Return Flights to Germany)</t>
        </is>
      </c>
      <c r="M130" t="inlineStr">
        <is>
          <t>Dec – Jan 31 (Annual cycle for 6-week July–August astronomy research program)</t>
        </is>
      </c>
      <c r="N130" t="inlineStr">
        <is>
          <t>Open to students of any nationality enrolled in a university degree program (typically late Bachelor’s or Master’s, not yet in a PhD) in Physics, Astrophysics, Astronomy, or related quantitative disciplines.</t>
        </is>
      </c>
      <c r="O130" t="inlineStr">
        <is>
          <t>Very High: Online ESO Portal Application + Motivation Letter Ranking Specific ESO Projects + CV + Transcripts + 1–2 Reference Letters</t>
        </is>
      </c>
      <c r="P130" t="inlineStr">
        <is>
          <t>Astrophysics, Observational Astronomy, Cosmology &amp; Data-Intensive Physics Students</t>
        </is>
      </c>
      <c r="Q130" t="inlineStr">
        <is>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is>
      </c>
      <c r="R130" t="inlineStr">
        <is>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is>
      </c>
      <c r="S130" t="inlineStr">
        <is>
          <t>Review by the ESO Summer Programme Committee → Technical Fit Assessment by Project Advisors → Shortlisted Video Interviews (Feb–Mar) → Final Selection.</t>
        </is>
      </c>
      <c r="T130" t="inlineStr">
        <is>
          <t>Physics and astronomy students with strong Python scientific computing skills who tailor their motivation letter directly to the mathematical and observational requirements of the listed ESO projects.</t>
        </is>
      </c>
      <c r="V130" t="inlineStr">
        <is>
          <t>https://eso.org/sci/meetings/SummerResearchProgramme.html</t>
        </is>
      </c>
      <c r="Z130" t="inlineStr">
        <is>
          <t>STEM, Research</t>
        </is>
      </c>
      <c r="AA130" s="5" t="n">
        <v>46313</v>
      </c>
      <c r="AB130" s="5" t="n">
        <v>46313</v>
      </c>
      <c r="AC130">
        <f>IF(AND(E130&lt;&gt;"",COUNTIF($E$2:$E$800,E130)&gt;1),"DUPLICATE","")</f>
        <v/>
      </c>
    </row>
    <row r="131">
      <c r="A131" t="inlineStr">
        <is>
          <t>esa-student-internships-young-graduate-trainee-europe</t>
        </is>
      </c>
      <c r="B131" t="inlineStr">
        <is>
          <t>Open</t>
        </is>
      </c>
      <c r="D131" t="inlineStr">
        <is>
          <t>Internship</t>
        </is>
      </c>
      <c r="E131" t="inlineStr">
        <is>
          <t>ESA Student Internships &amp; Young Graduate Trainee (YGT) Programme</t>
        </is>
      </c>
      <c r="F131" t="inlineStr">
        <is>
          <t>European Space Agency (ESA) — ESTEC (Netherlands), ESOC (Germany), ESRIN (Italy), EAC (Germany), ESAC (Spain)</t>
        </is>
      </c>
      <c r="G131" t="inlineStr">
        <is>
          <t>Europe</t>
        </is>
      </c>
      <c r="H131" t="inlineStr">
        <is>
          <t>Netherlands, Germany, Italy, Spain, France, United Kingdom</t>
        </is>
      </c>
      <c r="I131" t="inlineStr">
        <is>
          <t>Bachelor, Master</t>
        </is>
      </c>
      <c r="J131" t="inlineStr">
        <is>
          <t>Engineering &amp; Technology, Computer Science, Data &amp; AI, Mathematics &amp; Natural Sciences, Business, Economics &amp; Management, Law, Governance &amp; Public Policy</t>
        </is>
      </c>
      <c r="K131" t="inlineStr">
        <is>
          <t>Full</t>
        </is>
      </c>
      <c r="L131" t="inlineStr">
        <is>
          <t>Paid Monthly Allowance (€800–€1,000/mo for Student Interns; ~€2,700–€3,300/mo tax-free + Travel &amp; Expat Allowance for 1-Year YGT Graduates)</t>
        </is>
      </c>
      <c r="M131" t="inlineStr">
        <is>
          <t>Nov (Student Internships for 3–6 months) / Feb – Mar (1-Year YGT Programme)</t>
        </is>
      </c>
      <c r="N131" t="inlineStr">
        <is>
          <t>Citizens of ESA Member States, Associate States (Slovenia, Latvia, Lithuania, Slovakia), or Cooperating States (including Canada); enrolled in final years of a Bachelor’s or Master’s degree (for Student Internships) or recently graduated with a Master’s (for YGT).</t>
        </is>
      </c>
      <c r="O131" t="inlineStr">
        <is>
          <t>Very High: ESA Taleo Portal Application + Custom Cover Letter for up to 2–3 Specific Vacancy Requisitions + CV + Sonru/HireVue Video + Technical Panel Interview</t>
        </is>
      </c>
      <c r="P131" t="inlineStr">
        <is>
          <t>Aerospace, Satellite Engineering, Earth Observation, Robotics &amp; Space Policy Students from ESA/Partner Nations</t>
        </is>
      </c>
      <c r="Q131" t="inlineStr">
        <is>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is>
      </c>
      <c r="R131" t="inlineStr">
        <is>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is>
      </c>
      <c r="S131" t="inlineStr">
        <is>
          <t>HR Eligibility &amp; Nationality Check → Technical Screening by ESA Division Heads → Pre-recorded Video Interview → Final Competence &amp; Technical Panel Interview (April–May).</t>
        </is>
      </c>
      <c r="T131" t="inlineStr">
        <is>
          <t>Candidates who pick the 2 exact ESA vacancies that match their thesis topic (e.g., thermal control, GNSS navigation, SAR remote sensing) rather than submitting generic aerospace applications.</t>
        </is>
      </c>
      <c r="V131" t="inlineStr">
        <is>
          <t>https://www.esa.int/About_Us/Careers_at_ESA/Student_Internships2</t>
        </is>
      </c>
      <c r="Z131" t="inlineStr">
        <is>
          <t>STEM, Work experience</t>
        </is>
      </c>
      <c r="AA131" s="5" t="n">
        <v>46313</v>
      </c>
      <c r="AB131" s="5" t="n">
        <v>46313</v>
      </c>
      <c r="AC131">
        <f>IF(AND(E131&lt;&gt;"",COUNTIF($E$2:$E$800,E131)&gt;1),"DUPLICATE","")</f>
        <v/>
      </c>
    </row>
    <row r="132">
      <c r="A132" t="inlineStr">
        <is>
          <t>embl-undergraduate-internships-molecular-biology-europe</t>
        </is>
      </c>
      <c r="B132" t="inlineStr">
        <is>
          <t>Open</t>
        </is>
      </c>
      <c r="D132" t="inlineStr">
        <is>
          <t>Internship</t>
        </is>
      </c>
      <c r="E132" t="inlineStr">
        <is>
          <t>EMBL Undergraduate Internships (European Molecular Biology Laboratory)</t>
        </is>
      </c>
      <c r="F132" t="inlineStr">
        <is>
          <t>European Molecular Biology Laboratory (EMBL) — Heidelberg, Hinxton (EBI), Grenoble, Hamburg, Rome, Barcelona</t>
        </is>
      </c>
      <c r="G132" t="inlineStr">
        <is>
          <t>Europe</t>
        </is>
      </c>
      <c r="H132" t="inlineStr">
        <is>
          <t>Germany, United Kingdom, France, Italy, Spain</t>
        </is>
      </c>
      <c r="I132" t="inlineStr">
        <is>
          <t>Bachelor, Master</t>
        </is>
      </c>
      <c r="J132" t="inlineStr">
        <is>
          <t>Health &amp; Life Sciences, Computer Science, Data &amp; AI, Mathematics &amp; Natural Sciences, Engineering &amp; Technology</t>
        </is>
      </c>
      <c r="K132" t="inlineStr">
        <is>
          <t>Full</t>
        </is>
      </c>
      <c r="L132" t="inlineStr">
        <is>
          <t>Paid Monthly Stipend (Negotiated directly with host EMBL lab to cover accommodation and living costs, typically up to 6 months)</t>
        </is>
      </c>
      <c r="M132" t="inlineStr">
        <is>
          <t>Year-round rolling applications (Direct contact with EMBL Group/Team Leaders at least 3–4 months before desired start date)</t>
        </is>
      </c>
      <c r="N132" t="inlineStr">
        <is>
          <t>Open to undergraduate and Master’s students of all nationalities worldwide enrolled at a recognized university in Life Sciences, Bioinformatics, Physics, Chemistry, Computer Science, or Mathematics.</t>
        </is>
      </c>
      <c r="O132" t="inlineStr">
        <is>
          <t>High: Direct Scientific Cold-Email Pitch to an EMBL Group Leader + CV + Transcripts + Reference Contacts</t>
        </is>
      </c>
      <c r="P132" t="inlineStr">
        <is>
          <t>Proactive Bioinformatics, Structural Biology, Genomics &amp; Biophysics Students</t>
        </is>
      </c>
      <c r="Q132" t="inlineStr">
        <is>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is>
      </c>
      <c r="R132" t="inlineStr">
        <is>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is>
      </c>
      <c r="S132" t="inlineStr">
        <is>
          <t>Direct Evaluation of Scientific Pitch by the EMBL Group/Team Leader → 1-on-1 Online Lab Interview &amp; Journal Club Discussion → EMBL HR Contract &amp; Stipend Processing.</t>
        </is>
      </c>
      <c r="T132" t="inlineStr">
        <is>
          <t>Self-starting students who read an EMBL lab's latest Nature/Cell/Bioinformatics paper, propose a concrete 3-to-6-month project idea, and reach out 4–5 months before summer or their thesis semester.</t>
        </is>
      </c>
      <c r="V132" t="inlineStr">
        <is>
          <t>https://www.embl.org/about/info/undergraduate-internships/</t>
        </is>
      </c>
      <c r="Z132" t="inlineStr">
        <is>
          <t>STEM, Research</t>
        </is>
      </c>
      <c r="AA132" s="5" t="n">
        <v>46313</v>
      </c>
      <c r="AB132" s="5" t="n">
        <v>46313</v>
      </c>
      <c r="AC132">
        <f>IF(AND(E132&lt;&gt;"",COUNTIF($E$2:$E$800,E132)&gt;1),"DUPLICATE","")</f>
        <v/>
      </c>
    </row>
    <row r="133">
      <c r="A133" t="inlineStr">
        <is>
          <t>cnio-summer-training-programme-cancer-research-spain</t>
        </is>
      </c>
      <c r="B133" t="inlineStr">
        <is>
          <t>Open</t>
        </is>
      </c>
      <c r="D133" t="inlineStr">
        <is>
          <t>Internship</t>
        </is>
      </c>
      <c r="E133" t="inlineStr">
        <is>
          <t>CNIO Summer Training Programme (Spanish National Cancer Research Centre)</t>
        </is>
      </c>
      <c r="F133" t="inlineStr">
        <is>
          <t>Spanish National Cancer Research Centre (CNIO) — Madrid</t>
        </is>
      </c>
      <c r="G133" t="inlineStr">
        <is>
          <t>Europe</t>
        </is>
      </c>
      <c r="H133" t="inlineStr">
        <is>
          <t>Spain</t>
        </is>
      </c>
      <c r="I133" t="inlineStr">
        <is>
          <t>Bachelor, Master</t>
        </is>
      </c>
      <c r="J133" t="inlineStr">
        <is>
          <t>Health &amp; Life Sciences, Computer Science, Data &amp; AI</t>
        </is>
      </c>
      <c r="K133" t="inlineStr">
        <is>
          <t>Full</t>
        </is>
      </c>
      <c r="L133" t="inlineStr">
        <is>
          <t>Full Fellowship (Full Return Travel Expenses + Free Cafeteria Meals at CNIO + Medical Insurance for 8 weeks in Madrid)</t>
        </is>
      </c>
      <c r="M133" t="inlineStr">
        <is>
          <t>Feb – Apr (Annual cycle for 8-week June–August summer lab residency)</t>
        </is>
      </c>
      <c r="N133" t="inlineStr">
        <is>
          <t>Open to undergraduate and Master’s students of all nationalities worldwide who have passed at least 80% of the credits/courses required for their Bachelor’s degree in Life Sciences or Biomedicine (Biology, Medicine, Biochemistry, Bioinformatics, Pharmacology); GPA &gt; 8.0/10 or equivalent.</t>
        </is>
      </c>
      <c r="O133" t="inlineStr">
        <is>
          <t>Very High: Online CNIO Portal Form + CV + Official Transcript with GPA Calculation + Lab Choices (up to 3 CNIO Units)</t>
        </is>
      </c>
      <c r="P133" t="inlineStr">
        <is>
          <t>High-GPA Biomedical, Oncology, Structural Biology &amp; Bioinformatics Students</t>
        </is>
      </c>
      <c r="Q133" t="inlineStr">
        <is>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is>
      </c>
      <c r="R133" t="inlineStr">
        <is>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is>
      </c>
      <c r="S133" t="inlineStr">
        <is>
          <t>Strict GPA &amp; Credit Completion Ranking → Scientific Review by CNIO Programme Directors &amp; Host Lab PIs → Final Selection in May.</t>
        </is>
      </c>
      <c r="T133" t="inlineStr">
        <is>
          <t>Final-year Bachelor’s students in biochemistry, molecular biology, or bioinformatics with a GPA above 3.7/4.0 and previous hands-on wet-lab training.</t>
        </is>
      </c>
      <c r="V133" t="inlineStr">
        <is>
          <t>https://www.cnio.es/en/education-and-career-development/training-programmes/undergraduate-students/</t>
        </is>
      </c>
      <c r="Z133" t="inlineStr">
        <is>
          <t>STEM, Research</t>
        </is>
      </c>
      <c r="AA133" s="5" t="n">
        <v>46313</v>
      </c>
      <c r="AB133" s="5" t="n">
        <v>46313</v>
      </c>
      <c r="AC133">
        <f>IF(AND(E133&lt;&gt;"",COUNTIF($E$2:$E$800,E133)&gt;1),"DUPLICATE","")</f>
        <v/>
      </c>
    </row>
    <row r="134">
      <c r="A134" t="inlineStr">
        <is>
          <t>crg-summer-internship-program-barcelona-spain</t>
        </is>
      </c>
      <c r="B134" t="inlineStr">
        <is>
          <t>Open</t>
        </is>
      </c>
      <c r="D134" t="inlineStr">
        <is>
          <t>Internship</t>
        </is>
      </c>
      <c r="E134" t="inlineStr">
        <is>
          <t>CRG Summer Internship Program (Centre for Genomic Regulation)</t>
        </is>
      </c>
      <c r="F134" t="inlineStr">
        <is>
          <t>Centre for Genomic Regulation (CRG) — Barcelona Institute of Science and Technology</t>
        </is>
      </c>
      <c r="G134" t="inlineStr">
        <is>
          <t>Europe</t>
        </is>
      </c>
      <c r="H134" t="inlineStr">
        <is>
          <t>Spain</t>
        </is>
      </c>
      <c r="I134" t="inlineStr">
        <is>
          <t>Bachelor, Master</t>
        </is>
      </c>
      <c r="J134" t="inlineStr">
        <is>
          <t>Health &amp; Life Sciences, Computer Science, Data &amp; AI, Mathematics &amp; Natural Sciences</t>
        </is>
      </c>
      <c r="K134" t="inlineStr">
        <is>
          <t>Full</t>
        </is>
      </c>
      <c r="L134" t="inlineStr">
        <is>
          <t>Full Fellowship (€800/mo Living Stipend for 2 months + 100% Return Economy Flight/Train Ticket to Barcelona + Meal Vouchers)</t>
        </is>
      </c>
      <c r="M134" t="inlineStr">
        <is>
          <t>Jan – Mar (Annual cycle for 8-week July–September intensive training)</t>
        </is>
      </c>
      <c r="N134" t="inlineStr">
        <is>
          <t>Open to all nationalities worldwide; undergraduate and Master’s students with at least 4 full semesters (2 years) completed before the internship starts in Life Sciences, Bioinformatics, Biomedicine, Physics, Chemistry, or Computer Science; must not hold a Master’s degree by start date.</t>
        </is>
      </c>
      <c r="O134" t="inlineStr">
        <is>
          <t>Very High: CRG Online Application + Motivation Letter + Academic Transcripts + 1–2 Reference Letters + Lab Preferences</t>
        </is>
      </c>
      <c r="P134" t="inlineStr">
        <is>
          <t>Genomics, Computational Biology, Systems Biology &amp; Cell Biology Students</t>
        </is>
      </c>
      <c r="Q134" t="inlineStr">
        <is>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is>
      </c>
      <c r="R134" t="inlineStr">
        <is>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is>
      </c>
      <c r="S134" t="inlineStr">
        <is>
          <t>Academic Merit &amp; Research Experience Evaluation → Shortlisting &amp; Video Interview by Target CRG Group Leader (April) → Fellowship Offer.</t>
        </is>
      </c>
      <c r="T134" t="inlineStr">
        <is>
          <t>Undergraduates combining quantitative coding skills (R, Python, single-cell RNA-seq analysis) or wet-lab molecular genetics experience with a clear desire to pursue a future PhD.</t>
        </is>
      </c>
      <c r="V134" t="inlineStr">
        <is>
          <t>https://www.crg.eu/en/content/training-en/undergraduates-and-masters/crg-summer-internship-program</t>
        </is>
      </c>
      <c r="Z134" t="inlineStr">
        <is>
          <t>STEM, Research</t>
        </is>
      </c>
      <c r="AA134" s="5" t="n">
        <v>46313</v>
      </c>
      <c r="AB134" s="5" t="n">
        <v>46313</v>
      </c>
      <c r="AC134">
        <f>IF(AND(E134&lt;&gt;"",COUNTIF($E$2:$E$800,E134)&gt;1),"DUPLICATE","")</f>
        <v/>
      </c>
    </row>
    <row r="135">
      <c r="A135" t="inlineStr">
        <is>
          <t>icfo-summer-fellows-program-photonics-barcelona-spain</t>
        </is>
      </c>
      <c r="B135" t="inlineStr">
        <is>
          <t>Open</t>
        </is>
      </c>
      <c r="D135" t="inlineStr">
        <is>
          <t>Internship</t>
        </is>
      </c>
      <c r="E135" t="inlineStr">
        <is>
          <t>ICFO International Summer Fellows Program</t>
        </is>
      </c>
      <c r="F135" t="inlineStr">
        <is>
          <t>ICFO — The Institute of Photonic Sciences (Barcelona)</t>
        </is>
      </c>
      <c r="G135" t="inlineStr">
        <is>
          <t>Europe</t>
        </is>
      </c>
      <c r="H135" t="inlineStr">
        <is>
          <t>Spain</t>
        </is>
      </c>
      <c r="I135" t="inlineStr">
        <is>
          <t>Bachelor, Master</t>
        </is>
      </c>
      <c r="J135" t="inlineStr">
        <is>
          <t>Mathematics &amp; Natural Sciences, Engineering &amp; Technology, Computer Science, Data &amp; AI</t>
        </is>
      </c>
      <c r="K135" t="inlineStr">
        <is>
          <t>Full</t>
        </is>
      </c>
      <c r="L135" t="inlineStr">
        <is>
          <t>Full Fellowship (€2,000 Stipend for 8–10 weeks + Up to €500–€1,000 Travel Support for International Students)</t>
        </is>
      </c>
      <c r="M135" t="inlineStr">
        <is>
          <t>Jan – Mar (Annual cycle for June–September summer research fellowships)</t>
        </is>
      </c>
      <c r="N135" t="inlineStr">
        <is>
          <t>Open to all nationalities worldwide; full-time undergraduate (final years) or Master’s students in Physics, Engineering (Optical, Electrical, Telecommunications), Photonics, Chemistry, or Mathematics.</t>
        </is>
      </c>
      <c r="O135" t="inlineStr">
        <is>
          <t>Very High: ICFO Jobs Portal Application + Motivation Letter + CV + Academic Transcripts + Contact Details of 2 Referees</t>
        </is>
      </c>
      <c r="P135" t="inlineStr">
        <is>
          <t>Physics, Optics, Quantum Technologies, Biophotonics &amp; CleanTech Engineering Students</t>
        </is>
      </c>
      <c r="Q135" t="inlineStr">
        <is>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is>
      </c>
      <c r="R135" t="inlineStr">
        <is>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is>
      </c>
      <c r="S135" t="inlineStr">
        <is>
          <t>Academic Excellence &amp; Coursework Review by ICFO Committee → Shortlist Interviews with ICFO Group Leaders (April) → Final Fellowship Award.</t>
        </is>
      </c>
      <c r="T135" t="inlineStr">
        <is>
          <t>Physics and electrical/optical engineering students who demonstrate strong foundations in quantum mechanics, electromagnetism, and optics and aspire to pursue a Master’s or PhD in photonics.</t>
        </is>
      </c>
      <c r="V135" t="inlineStr">
        <is>
          <t>https://www.icfo.eu/career-training/work-with-us/student-research-fellowships/</t>
        </is>
      </c>
      <c r="Z135" t="inlineStr">
        <is>
          <t>STEM, Research</t>
        </is>
      </c>
      <c r="AA135" s="5" t="n">
        <v>46313</v>
      </c>
      <c r="AB135" s="5" t="n">
        <v>46313</v>
      </c>
      <c r="AC135">
        <f>IF(AND(E135&lt;&gt;"",COUNTIF($E$2:$E$800,E135)&gt;1),"DUPLICATE","")</f>
        <v/>
      </c>
    </row>
    <row r="136">
      <c r="A136" t="inlineStr">
        <is>
          <t>hzdr-summer-student-program-dresden-germany</t>
        </is>
      </c>
      <c r="B136" t="inlineStr">
        <is>
          <t>Open</t>
        </is>
      </c>
      <c r="D136" t="inlineStr">
        <is>
          <t>Internship</t>
        </is>
      </c>
      <c r="E136" t="inlineStr">
        <is>
          <t>HZDR Summer Student Program (Helmholtz-Zentrum Dresden-Rossendorf)</t>
        </is>
      </c>
      <c r="F136" t="inlineStr">
        <is>
          <t>Helmholtz-Zentrum Dresden-Rossendorf (HZDR) — Dresden</t>
        </is>
      </c>
      <c r="G136" t="inlineStr">
        <is>
          <t>Europe</t>
        </is>
      </c>
      <c r="H136" t="inlineStr">
        <is>
          <t>Germany</t>
        </is>
      </c>
      <c r="I136" t="inlineStr">
        <is>
          <t>Bachelor, Master</t>
        </is>
      </c>
      <c r="J136" t="inlineStr">
        <is>
          <t>Mathematics &amp; Natural Sciences, Engineering &amp; Technology, Computer Science, Data &amp; AI, Health &amp; Life Sciences</t>
        </is>
      </c>
      <c r="K136" t="inlineStr">
        <is>
          <t>Full</t>
        </is>
      </c>
      <c r="L136" t="inlineStr">
        <is>
          <t>Full Fellowship (€36/day Tax-Free Living Stipend ~€1,080/mo + Free Guest House Accommodation in Dresden + Travel Subsidy + Free Bus Pass)</t>
        </is>
      </c>
      <c r="M136" t="inlineStr">
        <is>
          <t>Dec – Feb 25 (Annual cycle for 6-to-9-week July–September research stay)</t>
        </is>
      </c>
      <c r="N136" t="inlineStr">
        <is>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is>
      </c>
      <c r="O136" t="inlineStr">
        <is>
          <t>High: Online HZDR Application + CV + University Transcripts + Enrollment Proof + 1 Reference Letter</t>
        </is>
      </c>
      <c r="P136" t="inlineStr">
        <is>
          <t>Experimental Physics, Materials Science, Radiochemistry, AI &amp; Energy Engineering Students</t>
        </is>
      </c>
      <c r="Q136" t="inlineStr">
        <is>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is>
      </c>
      <c r="R136" t="inlineStr">
        <is>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is>
      </c>
      <c r="S136" t="inlineStr">
        <is>
          <t>Eligibility &amp; Grade Screening → Project Allocation by HZDR Scientists (March) → Final Offer &amp; Visa Support Letter (April).</t>
        </is>
      </c>
      <c r="T136" t="inlineStr">
        <is>
          <t>Students in materials chemistry, physics, nuclear/medical physics, or scientific AI who show practical laboratory skills and enthusiasm for large-scale Helmholtz research facilities.</t>
        </is>
      </c>
      <c r="V136" t="inlineStr">
        <is>
          <t>https://www.hzdr.de/db/Cms?pNid=2519</t>
        </is>
      </c>
      <c r="Z136" t="inlineStr">
        <is>
          <t>STEM, Research</t>
        </is>
      </c>
      <c r="AA136" s="5" t="n">
        <v>46313</v>
      </c>
      <c r="AB136" s="5" t="n">
        <v>46313</v>
      </c>
      <c r="AC136">
        <f>IF(AND(E136&lt;&gt;"",COUNTIF($E$2:$E$800,E136)&gt;1),"DUPLICATE","")</f>
        <v/>
      </c>
    </row>
    <row r="137">
      <c r="A137" t="inlineStr">
        <is>
          <t>gsi-fair-international-summer-student-program-darmstadt-germany</t>
        </is>
      </c>
      <c r="B137" t="inlineStr">
        <is>
          <t>Open</t>
        </is>
      </c>
      <c r="D137" t="inlineStr">
        <is>
          <t>Internship</t>
        </is>
      </c>
      <c r="E137" t="inlineStr">
        <is>
          <t>GSI / FAIR International Summer Student Program (ISSP)</t>
        </is>
      </c>
      <c r="F137" t="inlineStr">
        <is>
          <t>GSI Helmholtzzentrum für Schwerionenforschung &amp; FAIR — Darmstadt</t>
        </is>
      </c>
      <c r="G137" t="inlineStr">
        <is>
          <t>Europe</t>
        </is>
      </c>
      <c r="H137" t="inlineStr">
        <is>
          <t>Germany</t>
        </is>
      </c>
      <c r="I137" t="inlineStr">
        <is>
          <t>Bachelor, Master</t>
        </is>
      </c>
      <c r="J137" t="inlineStr">
        <is>
          <t>Mathematics &amp; Natural Sciences, Engineering &amp; Technology, Computer Science, Data &amp; AI, Health &amp; Life Sciences</t>
        </is>
      </c>
      <c r="K137" t="inlineStr">
        <is>
          <t>Full</t>
        </is>
      </c>
      <c r="L137" t="inlineStr">
        <is>
          <t>Full Fellowship (€31/day Living Allowance + Free Accommodation + Up to €500–€800 Travel Cost Subsidy)</t>
        </is>
      </c>
      <c r="M137" t="inlineStr">
        <is>
          <t>Jan – Feb 15 (Annual cycle for 8-week July–September placement)</t>
        </is>
      </c>
      <c r="N137" t="inlineStr">
        <is>
          <t>Advanced undergraduate (3rd/4th year Bachelor’s) or Master’s students from partner universities and international institutions worldwide studying Physics, Accelerator Engineering, Biophysics/Radiation Therapy, Materials Science, or Scientific Computing.</t>
        </is>
      </c>
      <c r="O137" t="inlineStr">
        <is>
          <t>High: Online GSI Application + Project Ranking (3 Projects) + CV + Transcripts + Academic Reference</t>
        </is>
      </c>
      <c r="P137" t="inlineStr">
        <is>
          <t>Nuclear Physics, Accelerator Engineering, Heavy-Ion Biophysics &amp; Materials Science Students</t>
        </is>
      </c>
      <c r="Q137" t="inlineStr">
        <is>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is>
      </c>
      <c r="R137" t="inlineStr">
        <is>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is>
      </c>
      <c r="S137" t="inlineStr">
        <is>
          <t>Academic &amp; Technical Evaluation by GSI Coordinators → Project Matching by GSI/FAIR Group Leaders (March–April) → Official Invitation.</t>
        </is>
      </c>
      <c r="T137" t="inlineStr">
        <is>
          <t>Students with strong nuclear/atomic physics, biophysics, materials science, or C++/Python data analysis backgrounds who want hands-on experience at a premier heavy-ion accelerator facility.</t>
        </is>
      </c>
      <c r="V137" t="inlineStr">
        <is>
          <t>https://www.gsi.de/en/work-train/study/internships/international-summer-student-program</t>
        </is>
      </c>
      <c r="Z137" t="inlineStr">
        <is>
          <t>STEM, Research</t>
        </is>
      </c>
      <c r="AA137" s="5" t="n">
        <v>46313</v>
      </c>
      <c r="AB137" s="5" t="n">
        <v>46313</v>
      </c>
      <c r="AC137">
        <f>IF(AND(E137&lt;&gt;"",COUNTIF($E$2:$E$800,E137)&gt;1),"DUPLICATE","")</f>
        <v/>
      </c>
    </row>
    <row r="138">
      <c r="A138" t="inlineStr">
        <is>
          <t>aalto-science-institute-asci-summer-research-programme-finland</t>
        </is>
      </c>
      <c r="B138" t="inlineStr">
        <is>
          <t>Open</t>
        </is>
      </c>
      <c r="D138" t="inlineStr">
        <is>
          <t>Internship</t>
        </is>
      </c>
      <c r="E138" t="inlineStr">
        <is>
          <t>Aalto Science Institute (AScI) International Summer Research Programme</t>
        </is>
      </c>
      <c r="F138" t="inlineStr">
        <is>
          <t>Aalto University — Schools of Science, Engineering, Electrical Engineering &amp; Chemical Engineering (Espoo/Helsinki)</t>
        </is>
      </c>
      <c r="G138" t="inlineStr">
        <is>
          <t>Europe</t>
        </is>
      </c>
      <c r="H138" t="inlineStr">
        <is>
          <t>Finland</t>
        </is>
      </c>
      <c r="I138" t="inlineStr">
        <is>
          <t>Bachelor, Master</t>
        </is>
      </c>
      <c r="J138" t="inlineStr">
        <is>
          <t>Computer Science, Data &amp; AI, Mathematics &amp; Natural Sciences, Engineering &amp; Technology</t>
        </is>
      </c>
      <c r="K138" t="inlineStr">
        <is>
          <t>Full</t>
        </is>
      </c>
      <c r="L138" t="inlineStr">
        <is>
          <t>Full Employment Salary (€2,000+/mo Gross Salary covering all living &amp; housing costs in Helsinki + Travel Bonus of €400 inside Europe / €800 outside Europe)</t>
        </is>
      </c>
      <c r="M138" t="inlineStr">
        <is>
          <t>Jan 2 – Jan 31 (Annual cycle for 12-week June–August salaried employment)</t>
        </is>
      </c>
      <c r="N138" t="inlineStr">
        <is>
          <t>Open to all nationalities worldwide; Bachelor’s (at least 2nd/3rd year) or Master’s students enrolled at any recognized university outside Aalto in Computer Science, Physics, Mathematics, Data Science, Materials/Chemical Engineering, Electrical Engineering, or Mechanical Engineering.</t>
        </is>
      </c>
      <c r="O138" t="inlineStr">
        <is>
          <t>Very High: Aalto Workday Portal Application + Motivation Letter for 1–3 Specific AScI Projects + Transcripts + CV + 1 Reference Letter</t>
        </is>
      </c>
      <c r="P138" t="inlineStr">
        <is>
          <t>Quantitative STEM, AI, Quantum Physics, Materials &amp; Chemical Engineering Students</t>
        </is>
      </c>
      <c r="Q138" t="inlineStr">
        <is>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is>
      </c>
      <c r="R138" t="inlineStr">
        <is>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is>
      </c>
      <c r="S138" t="inlineStr">
        <is>
          <t>Departmental Screening of GPA &amp; Technical Fit → Online Technical Interview with the Project’s Academic Supervisor (February) → Salaried Employment Offer in March.</t>
        </is>
      </c>
      <c r="T138" t="inlineStr">
        <is>
          <t>Students who match their exact coursework, lab techniques, or coding repositories to one of the ~60 specific project descriptions posted on the AScI webpage each January.</t>
        </is>
      </c>
      <c r="V138" t="inlineStr">
        <is>
          <t>https://www.aalto.fi/en/aalto-science-institute/aalto-science-institute-international-summer-research-programme</t>
        </is>
      </c>
      <c r="Z138" t="inlineStr">
        <is>
          <t>STEM, Research, Work experience</t>
        </is>
      </c>
      <c r="AA138" s="5" t="n">
        <v>46313</v>
      </c>
      <c r="AB138" s="5" t="n">
        <v>46313</v>
      </c>
      <c r="AC138">
        <f>IF(AND(E138&lt;&gt;"",COUNTIF($E$2:$E$800,E138)&gt;1),"DUPLICATE","")</f>
        <v/>
      </c>
    </row>
    <row r="139">
      <c r="A139" t="inlineStr">
        <is>
          <t>kaust-vsrp-visiting-student-research-program-saudi-arabia</t>
        </is>
      </c>
      <c r="B139" t="inlineStr">
        <is>
          <t>Open</t>
        </is>
      </c>
      <c r="D139" t="inlineStr">
        <is>
          <t>Internship</t>
        </is>
      </c>
      <c r="E139" t="inlineStr">
        <is>
          <t>KAUST Visiting Student Research Program (VSRP)</t>
        </is>
      </c>
      <c r="F139" t="inlineStr">
        <is>
          <t>King Abdullah University of Science and Technology (KAUST) — Thuwal</t>
        </is>
      </c>
      <c r="G139" t="inlineStr">
        <is>
          <t>Middle East</t>
        </is>
      </c>
      <c r="H139" t="inlineStr">
        <is>
          <t>Saudi Arabia</t>
        </is>
      </c>
      <c r="I139" t="inlineStr">
        <is>
          <t>Bachelor, Master</t>
        </is>
      </c>
      <c r="J139" t="inlineStr">
        <is>
          <t>Engineering &amp; Technology, Computer Science, Data &amp; AI, Mathematics &amp; Natural Sciences, Environment, Water &amp; Energy, Health &amp; Life Sciences</t>
        </is>
      </c>
      <c r="K139" t="inlineStr">
        <is>
          <t>Full</t>
        </is>
      </c>
      <c r="L139" t="inlineStr">
        <is>
          <t>Full Luxury Fellowship ($1,000/mo Tax-Free Stipend + Free Private Bedroom/Bathroom Campus Housing + Round-Trip Airfare + Visa Fees + Comprehensive Health Insurance)</t>
        </is>
      </c>
      <c r="M139" t="inlineStr">
        <is>
          <t>Year-round rolling applications (Apply 3–5 months before desired start date; 3-to-6-month duration)</t>
        </is>
      </c>
      <c r="N139" t="inlineStr">
        <is>
          <t>Open to all nationalities worldwide (except current KAUST students); 3rd/4th-year Bachelor’s or current Master’s students in STEM fields; minimum GPA 3.5/4.0 (or equivalent); strong English proficiency (TOEFL 79 / IELTS 6.5 or English-medium university instruction).</t>
        </is>
      </c>
      <c r="O139" t="inlineStr">
        <is>
          <t>High: Online KAUST VSRP Application + Selection of Specific VSRP Faculty Project + Statement of Purpose + CV + Official Transcripts + 1 Reference Letter</t>
        </is>
      </c>
      <c r="P139" t="inlineStr">
        <is>
          <t>High-GPA STEM Bachelor’s &amp; Master’s Students Seeking 3-to-6-Month Funded Lab Research or Thesis Projects</t>
        </is>
      </c>
      <c r="Q139" t="inlineStr">
        <is>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is>
      </c>
      <c r="R139" t="inlineStr">
        <is>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is>
      </c>
      <c r="S139" t="inlineStr">
        <is>
          <t>Eligibility &amp; GPA Verification by KAUST Admissions → Direct Scientific Review &amp; Zoom Interview with the Hosting KAUST Professor → Official VSRP Offer &amp; Saudi Visa Sponsorship.</t>
        </is>
      </c>
      <c r="T139" t="inlineStr">
        <is>
          <t>3rd/4th-year Bachelor’s and Master’s students with a 3.5+ GPA who browse the live VSRP project board, email the KAUST professor with a concise pitch linking their lab/coding skills to the posted project, and submit a complete online dossier.</t>
        </is>
      </c>
      <c r="V139" t="inlineStr">
        <is>
          <t>https://vsrp.kaust.edu.sa/</t>
        </is>
      </c>
      <c r="Z139" t="inlineStr">
        <is>
          <t>STEM, Research</t>
        </is>
      </c>
      <c r="AA139" s="5" t="n">
        <v>46313</v>
      </c>
      <c r="AB139" s="5" t="n">
        <v>46313</v>
      </c>
      <c r="AC139">
        <f>IF(AND(E139&lt;&gt;"",COUNTIF($E$2:$E$800,E139)&gt;1),"DUPLICATE","")</f>
        <v/>
      </c>
    </row>
    <row r="140">
      <c r="A140" t="inlineStr">
        <is>
          <t>oist-research-internship-program-okinawa-japan</t>
        </is>
      </c>
      <c r="B140" t="inlineStr">
        <is>
          <t>Open</t>
        </is>
      </c>
      <c r="D140" t="inlineStr">
        <is>
          <t>Internship</t>
        </is>
      </c>
      <c r="E140" t="inlineStr">
        <is>
          <t>OIST Research Internship Program (Okinawa Institute of Science and Technology)</t>
        </is>
      </c>
      <c r="F140" t="inlineStr">
        <is>
          <t>Okinawa Institute of Science and Technology Graduate University (OIST) — Okinawa</t>
        </is>
      </c>
      <c r="G140" t="inlineStr">
        <is>
          <t>Asia</t>
        </is>
      </c>
      <c r="H140" t="inlineStr">
        <is>
          <t>Japan</t>
        </is>
      </c>
      <c r="I140" t="inlineStr">
        <is>
          <t>Bachelor, Master</t>
        </is>
      </c>
      <c r="J140" t="inlineStr">
        <is>
          <t>Mathematics &amp; Natural Sciences, Engineering &amp; Technology, Computer Science, Data &amp; AI, Health &amp; Life Sciences</t>
        </is>
      </c>
      <c r="K140" t="inlineStr">
        <is>
          <t>Full</t>
        </is>
      </c>
      <c r="L140" t="inlineStr">
        <is>
          <t>Full Fellowship (JPY 2,400/working day Tax-Free Allowance + Free Furnished On/Off-Campus Apartment + Direct Round-Trip Airfare + Visa &amp; Insurance Support)</t>
        </is>
      </c>
      <c r="M140" t="inlineStr">
        <is>
          <t>Apr 15 (Fall/Winter cohort) &amp; Oct 15 (Spring/Summer cohort) — Bi-annual calls for 3-to-6-month placements</t>
        </is>
      </c>
      <c r="N140" t="inlineStr">
        <is>
          <t>Open to all nationalities worldwide; enrolled in the final 2 years of a Bachelor’s degree or any year of a Master’s program (or recently graduated) in Physics, Chemistry, Biology, Neuroscience, Marine Science, Materials Science, Engineering, or Computer Science.</t>
        </is>
      </c>
      <c r="O140" t="inlineStr">
        <is>
          <t>Very High: Online OIST Portal Form + 400-Word Statement of Purpose + Research Unit Preferences (1–3 Labs) + Transcripts + 1–3 Reference Letters</t>
        </is>
      </c>
      <c r="P140" t="inlineStr">
        <is>
          <t>Interdisciplinary STEM Students Seeking 3-to-6-Month Research Placements in Japan (100% English)</t>
        </is>
      </c>
      <c r="Q140" t="inlineStr">
        <is>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is>
      </c>
      <c r="R140" t="inlineStr">
        <is>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is>
      </c>
      <c r="S140" t="inlineStr">
        <is>
          <t>Central Academic Review → Direct Evaluation &amp; Video Interview by Target OIST Principal Investigators → Final Fellowship Selection (~2.5 months after deadline).</t>
        </is>
      </c>
      <c r="T140" t="inlineStr">
        <is>
          <t>Curious, interdisciplinary STEM students who write a sharp 400-word statement connecting their exact experimental or computational background to 1–2 specific OIST professors without exceeding character limits.</t>
        </is>
      </c>
      <c r="V140" t="inlineStr">
        <is>
          <t>https://admissions.oist.jp/apply-research-internship</t>
        </is>
      </c>
      <c r="Z140" t="inlineStr">
        <is>
          <t>STEM, Research</t>
        </is>
      </c>
      <c r="AA140" s="5" t="n">
        <v>46313</v>
      </c>
      <c r="AB140" s="5" t="n">
        <v>46313</v>
      </c>
      <c r="AC140">
        <f>IF(AND(E140&lt;&gt;"",COUNTIF($E$2:$E$800,E140)&gt;1),"DUPLICATE","")</f>
        <v/>
      </c>
    </row>
    <row r="141">
      <c r="A141" t="inlineStr">
        <is>
          <t>nigintern-national-institute-of-genetics-internship-japan</t>
        </is>
      </c>
      <c r="B141" t="inlineStr">
        <is>
          <t>Open</t>
        </is>
      </c>
      <c r="D141" t="inlineStr">
        <is>
          <t>Internship</t>
        </is>
      </c>
      <c r="E141" t="inlineStr">
        <is>
          <t>NIGINTERN Research Internship Program (National Institute of Genetics)</t>
        </is>
      </c>
      <c r="F141" t="inlineStr">
        <is>
          <t>National Institute of Genetics (NIG) &amp; SOKENDAI — Mishima, Shizuoka</t>
        </is>
      </c>
      <c r="G141" t="inlineStr">
        <is>
          <t>Asia</t>
        </is>
      </c>
      <c r="H141" t="inlineStr">
        <is>
          <t>Japan</t>
        </is>
      </c>
      <c r="I141" t="inlineStr">
        <is>
          <t>Bachelor, Master</t>
        </is>
      </c>
      <c r="J141" t="inlineStr">
        <is>
          <t>Health &amp; Life Sciences, Computer Science, Data &amp; AI</t>
        </is>
      </c>
      <c r="K141" t="inlineStr">
        <is>
          <t>Full</t>
        </is>
      </c>
      <c r="L141" t="inlineStr">
        <is>
          <t>Full Fellowship (~JPY 1,500/day Meal Allowance + Return International Airfare + Free Guesthouse Accommodation at NIG + Travel Insurance)</t>
        </is>
      </c>
      <c r="M141" t="inlineStr">
        <is>
          <t>Dec – Jan 7 (Annual cycle for 6-week June–July summer research internship)</t>
        </is>
      </c>
      <c r="N141" t="inlineStr">
        <is>
          <t>Open to pre-final year undergraduate students (3rd year of 4-year Bachelor’s; 4th year of 5-year degree) and 1st-year Master’s students worldwide who are interested in Life Sciences, Genetics, Genomics, Bioinformatics, or Evolutionary Biology.</t>
        </is>
      </c>
      <c r="O141" t="inlineStr">
        <is>
          <t>Very High: NIGINTERN Portal registration + 500-Word Motivation Essay + Curriculum Vitae + Academic Transcripts + 2 Reference Letters</t>
        </is>
      </c>
      <c r="P141" t="inlineStr">
        <is>
          <t>Genetics, Molecular Biology, Genomics &amp; Bioinformatics Students Interested in Japanese PhD Study</t>
        </is>
      </c>
      <c r="Q141" t="inlineStr">
        <is>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is>
      </c>
      <c r="R141" t="inlineStr">
        <is>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is>
      </c>
      <c r="S141" t="inlineStr">
        <is>
          <t>Evaluation of Academic Standing &amp; Motivation Essay → Shortlisting by NIG Host Lab Professors → Final Selection in late February.</t>
        </is>
      </c>
      <c r="T141" t="inlineStr">
        <is>
          <t>Pre-final year Bachelor’s and 1st-year Master’s students with hands-on molecular genetics or bioinformatics experience who express genuine interest in NIG’s 5-year or 3-year SOKENDAI PhD program.</t>
        </is>
      </c>
      <c r="V141" t="inlineStr">
        <is>
          <t>https://www.nig.ac.jp/jimu/soken/intern/</t>
        </is>
      </c>
      <c r="Z141" t="inlineStr">
        <is>
          <t>STEM, Research</t>
        </is>
      </c>
      <c r="AA141" s="5" t="n">
        <v>46313</v>
      </c>
      <c r="AB141" s="5" t="n">
        <v>46313</v>
      </c>
      <c r="AC141">
        <f>IF(AND(E141&lt;&gt;"",COUNTIF($E$2:$E$800,E141)&gt;1),"DUPLICATE","")</f>
        <v/>
      </c>
    </row>
    <row r="142">
      <c r="A142" t="inlineStr">
        <is>
          <t>utokyo-amgen-scholars-program-tokyo-japan</t>
        </is>
      </c>
      <c r="B142" t="inlineStr">
        <is>
          <t>Open</t>
        </is>
      </c>
      <c r="D142" t="inlineStr">
        <is>
          <t>Internship</t>
        </is>
      </c>
      <c r="E142" t="inlineStr">
        <is>
          <t>UTokyo Amgen Scholars Program (University of Tokyo)</t>
        </is>
      </c>
      <c r="F142" t="inlineStr">
        <is>
          <t>University of Tokyo &amp; Amgen Foundation — Tokyo</t>
        </is>
      </c>
      <c r="G142" t="inlineStr">
        <is>
          <t>Asia</t>
        </is>
      </c>
      <c r="H142" t="inlineStr">
        <is>
          <t>Japan</t>
        </is>
      </c>
      <c r="I142" t="inlineStr">
        <is>
          <t>Bachelor</t>
        </is>
      </c>
      <c r="J142" t="inlineStr">
        <is>
          <t>Health &amp; Life Sciences, Engineering &amp; Technology, Mathematics &amp; Natural Sciences, Computer Science, Data &amp; AI, Agriculture &amp; Food Security</t>
        </is>
      </c>
      <c r="K142" t="inlineStr">
        <is>
          <t>Full</t>
        </is>
      </c>
      <c r="L142" t="inlineStr">
        <is>
          <t>Full Ride (JPY 270,000 Stipend + Free Near-Campus Accommodation in Tokyo + Economy Round-Trip Airfare + Paid Participation in the Asia Symposium in Singapore/Kyoto)</t>
        </is>
      </c>
      <c r="M142" t="inlineStr">
        <is>
          <t>Nov 1 – Feb 1 (Annual cycle for 8-week June–August summer research program)</t>
        </is>
      </c>
      <c r="N142" t="inlineStr">
        <is>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is>
      </c>
      <c r="O142" t="inlineStr">
        <is>
          <t>Very High: Online UTokyo Amgen Portal + Statement of Purpose &amp; Future Plans Essays + Host Lab Selection + Official Transcripts + 2 Reference Letters</t>
        </is>
      </c>
      <c r="P142" t="inlineStr">
        <is>
          <t>High-Achieving Undergraduates in Biotechnology, Chemistry, Bioengineering, Neuroscience &amp; Life Sciences</t>
        </is>
      </c>
      <c r="Q142" t="inlineStr">
        <is>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is>
      </c>
      <c r="R142" t="inlineStr">
        <is>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is>
      </c>
      <c r="S142" t="inlineStr">
        <is>
          <t>Holistic Review of Academic Excellence, Research Potential &amp; PhD Commitment → Lab Matching by UTokyo Faculty Mentors → Notification in March.</t>
        </is>
      </c>
      <c r="T142" t="inlineStr">
        <is>
          <t>Undergraduates explicitly committed to pursuing a research PhD in biotechnology, chemical biology, biomaterials, or biomedical engineering who clearly articulate why their chosen UTokyo lab matches their scientific trajectory.</t>
        </is>
      </c>
      <c r="V142" t="inlineStr">
        <is>
          <t>https://www.u-tokyo.ac.jp/en/prospective-students/amgen_program.html</t>
        </is>
      </c>
      <c r="Z142" t="inlineStr">
        <is>
          <t>STEM, Research</t>
        </is>
      </c>
      <c r="AA142" s="5" t="n">
        <v>46313</v>
      </c>
      <c r="AB142" s="5" t="n">
        <v>46313</v>
      </c>
      <c r="AC142">
        <f>IF(AND(E142&lt;&gt;"",COUNTIF($E$2:$E$800,E142)&gt;1),"DUPLICATE","")</f>
        <v/>
      </c>
    </row>
    <row r="143">
      <c r="A143" t="inlineStr">
        <is>
          <t>kyoto-university-amgen-scholars-program-japan</t>
        </is>
      </c>
      <c r="B143" t="inlineStr">
        <is>
          <t>Open</t>
        </is>
      </c>
      <c r="D143" t="inlineStr">
        <is>
          <t>Internship</t>
        </is>
      </c>
      <c r="E143" t="inlineStr">
        <is>
          <t>Kyoto University Amgen Scholars Program</t>
        </is>
      </c>
      <c r="F143" t="inlineStr">
        <is>
          <t>Kyoto University &amp; Amgen Foundation — Kyoto</t>
        </is>
      </c>
      <c r="G143" t="inlineStr">
        <is>
          <t>Asia</t>
        </is>
      </c>
      <c r="H143" t="inlineStr">
        <is>
          <t>Japan</t>
        </is>
      </c>
      <c r="I143" t="inlineStr">
        <is>
          <t>Bachelor</t>
        </is>
      </c>
      <c r="J143" t="inlineStr">
        <is>
          <t>Health &amp; Life Sciences, Mathematics &amp; Natural Sciences, Engineering &amp; Technology, Agriculture &amp; Food Security</t>
        </is>
      </c>
      <c r="K143" t="inlineStr">
        <is>
          <t>Full</t>
        </is>
      </c>
      <c r="L143" t="inlineStr">
        <is>
          <t>Full Ride (JPY 180,000 Scholarship Stipend + Free Accommodation in Kyoto + Round-Trip Economy Flights + All Costs for Amgen Asia Symposium)</t>
        </is>
      </c>
      <c r="M143" t="inlineStr">
        <is>
          <t>Nov 1 – Feb 1 (Annual cycle for 8-week June–August research internship)</t>
        </is>
      </c>
      <c r="N143" t="inlineStr">
        <is>
          <t>Undergraduate students enrolled at accredited 4-year universities worldwide; completed at least their first year of study and not graduating before the program concludes; minimum GPA 3.2/4.0; fluent in English.</t>
        </is>
      </c>
      <c r="O143" t="inlineStr">
        <is>
          <t>Very High: Online Application + Statement of Purpose + Lab Preferences (Biomedical, Chemistry, Bioengineering, iPS Cells) + Transcripts + 2 Reference Letters</t>
        </is>
      </c>
      <c r="P143" t="inlineStr">
        <is>
          <t>Undergraduates Targeting Nobel-Class Biomedical, Stem Cell (CiRA), Chemical &amp; Agricultural Research in Kyoto</t>
        </is>
      </c>
      <c r="Q143" t="inlineStr">
        <is>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is>
      </c>
      <c r="R143" t="inlineStr">
        <is>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is>
      </c>
      <c r="S143" t="inlineStr">
        <is>
          <t>Screening of Academic GPA, Essays &amp; Reference Letters → Evaluation by Kyoto University Host Professors → Offers Announced in Late March.</t>
        </is>
      </c>
      <c r="T143" t="inlineStr">
        <is>
          <t>Passionate 2nd- and 3rd-year undergraduates interested in regenerative medicine, organic/polymer chemistry, or molecular biology who demonstrate strong potential for graduate research.</t>
        </is>
      </c>
      <c r="V143" t="inlineStr">
        <is>
          <t>https://www.opir.kyoto-u.ac.jp/study/en/curriculum/amgenscholars/</t>
        </is>
      </c>
      <c r="Z143" t="inlineStr">
        <is>
          <t>STEM, Research</t>
        </is>
      </c>
      <c r="AA143" s="5" t="n">
        <v>46313</v>
      </c>
      <c r="AB143" s="5" t="n">
        <v>46313</v>
      </c>
      <c r="AC143">
        <f>IF(AND(E143&lt;&gt;"",COUNTIF($E$2:$E$800,E143)&gt;1),"DUPLICATE","")</f>
        <v/>
      </c>
    </row>
    <row r="144">
      <c r="A144" t="inlineStr">
        <is>
          <t>utrip-university-of-tokyo-research-internship-program-japan</t>
        </is>
      </c>
      <c r="B144" t="inlineStr">
        <is>
          <t>Open</t>
        </is>
      </c>
      <c r="D144" t="inlineStr">
        <is>
          <t>Internship</t>
        </is>
      </c>
      <c r="E144" t="inlineStr">
        <is>
          <t>University of Tokyo Research Internship Program (UTRIP)</t>
        </is>
      </c>
      <c r="F144" t="inlineStr">
        <is>
          <t>University of Tokyo — Graduate School of Science (Tokyo)</t>
        </is>
      </c>
      <c r="G144" t="inlineStr">
        <is>
          <t>Asia</t>
        </is>
      </c>
      <c r="H144" t="inlineStr">
        <is>
          <t>Japan</t>
        </is>
      </c>
      <c r="I144" t="inlineStr">
        <is>
          <t>Bachelor</t>
        </is>
      </c>
      <c r="J144" t="inlineStr">
        <is>
          <t>Mathematics &amp; Natural Sciences, Computer Science, Data &amp; AI, Health &amp; Life Sciences</t>
        </is>
      </c>
      <c r="K144" t="inlineStr">
        <is>
          <t>Full</t>
        </is>
      </c>
      <c r="L144" t="inlineStr">
        <is>
          <t>Full Scholarship Support (Monthly Living Stipend + Free Off-Campus Accommodation + Travel Cost Subsidy for Selected Fellows)</t>
        </is>
      </c>
      <c r="M144" t="inlineStr">
        <is>
          <t>Nov – Jan 10 (Annual cycle for 6-week June–July or July–August summer sessions)</t>
        </is>
      </c>
      <c r="N144" t="inlineStr">
        <is>
          <t>Undergraduate students worldwide who have completed at least 1 full year (preferably 2–3 years) in a Bachelor’s program in Physics, Astronomy, Earth &amp; Planetary Science, Chemistry, or Biological Sciences; not graduating before the program ends.</t>
        </is>
      </c>
      <c r="O144" t="inlineStr">
        <is>
          <t>Very High: Online UTRIP Application + Personal Statement (700–1,000 words) + Selection of UTokyo Science Labs + Transcripts + 1–2 Reference Letters</t>
        </is>
      </c>
      <c r="P144" t="inlineStr">
        <is>
          <t>Natural Science Undergraduates (Physics, Chemistry, Biology, Astronomy, Earth Science)</t>
        </is>
      </c>
      <c r="Q144" t="inlineStr">
        <is>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is>
      </c>
      <c r="R144" t="inlineStr">
        <is>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is>
      </c>
      <c r="S144" t="inlineStr">
        <is>
          <t>Departmental Evaluation of Academic Record &amp; 1,000-Word Research Essay → Host Professor Lab Matching → Admission &amp; Scholarship Notification in March.</t>
        </is>
      </c>
      <c r="T144" t="inlineStr">
        <is>
          <t>2nd- and 3rd-year physics, chemistry, and biology majors who write a rigorous 1,000-word scientific essay and show clear interest in UTokyo’s Global Science Graduate Course (GSGC).</t>
        </is>
      </c>
      <c r="V144" t="inlineStr">
        <is>
          <t>https://www.s.u-tokyo.ac.jp/en/utrip/</t>
        </is>
      </c>
      <c r="Z144" t="inlineStr">
        <is>
          <t>STEM, Research</t>
        </is>
      </c>
      <c r="AA144" s="5" t="n">
        <v>46313</v>
      </c>
      <c r="AB144" s="5" t="n">
        <v>46313</v>
      </c>
      <c r="AC144">
        <f>IF(AND(E144&lt;&gt;"",COUNTIF($E$2:$E$800,E144)&gt;1),"DUPLICATE","")</f>
        <v/>
      </c>
    </row>
    <row r="145">
      <c r="A145" t="inlineStr">
        <is>
          <t>nims-internship-program-materials-science-tsukuba-japan</t>
        </is>
      </c>
      <c r="B145" t="inlineStr">
        <is>
          <t>Open</t>
        </is>
      </c>
      <c r="D145" t="inlineStr">
        <is>
          <t>Internship</t>
        </is>
      </c>
      <c r="E145" t="inlineStr">
        <is>
          <t>NIMS Internship Program (National Institute for Materials Science)</t>
        </is>
      </c>
      <c r="F145" t="inlineStr">
        <is>
          <t>National Institute for Materials Science (NIMS) — Tsukuba, Ibaraki</t>
        </is>
      </c>
      <c r="G145" t="inlineStr">
        <is>
          <t>Asia</t>
        </is>
      </c>
      <c r="H145" t="inlineStr">
        <is>
          <t>Japan</t>
        </is>
      </c>
      <c r="I145" t="inlineStr">
        <is>
          <t>Bachelor, Master, PhD</t>
        </is>
      </c>
      <c r="J145" t="inlineStr">
        <is>
          <t>Engineering &amp; Technology, Mathematics &amp; Natural Sciences</t>
        </is>
      </c>
      <c r="K145" t="inlineStr">
        <is>
          <t>Full</t>
        </is>
      </c>
      <c r="L145" t="inlineStr">
        <is>
          <t>Full Allowance (JPY 2,560/day Living Allowance ~JPY 76,800/mo + Free Accommodation at NIMS Guesthouse/Hotel in Tsukuba for up to 90 days)</t>
        </is>
      </c>
      <c r="M145" t="inlineStr">
        <is>
          <t>Jan – Feb / Periodic calls (Up to 90 consecutive days of hands-on materials science research)</t>
        </is>
      </c>
      <c r="N145" t="inlineStr">
        <is>
          <t>Undergraduate (final years), Master’s, and PhD students currently enrolled at universities worldwide in Materials Science, Polymer Science, Chemistry, Solid-State Physics, Chemical Engineering, Nanotechnology, or Metallurgy.</t>
        </is>
      </c>
      <c r="O145" t="inlineStr">
        <is>
          <t>High: NIMS Mentor Agreement + Online Application Form + CV + Official Transcripts + Enrollment Certificate + Recommendation Letter</t>
        </is>
      </c>
      <c r="P145" t="inlineStr">
        <is>
          <t>Materials Science, Polymer Chemistry, Thin-Film &amp; Nanotechnology Bachelor’s, Master’s &amp; PhD Students</t>
        </is>
      </c>
      <c r="Q145" t="inlineStr">
        <is>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is>
      </c>
      <c r="R145" t="inlineStr">
        <is>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is>
      </c>
      <c r="S145" t="inlineStr">
        <is>
          <t>Pre-Confirmation by Hosting NIMS Researcher → Central NIMS Screening of Academic Transcripts &amp; Research Plan → Award of Living &amp; Housing Support.</t>
        </is>
      </c>
      <c r="T145" t="inlineStr">
        <is>
          <t>Materials science, polymer, and chemical engineering students (including Master’s and PhD researchers) who proactively email a NIMS group leader via the SAMURAI portal with a clear experimental plan.</t>
        </is>
      </c>
      <c r="V145" t="inlineStr">
        <is>
          <t>https://www.nims.go.jp/eng/hr-development/internship.html</t>
        </is>
      </c>
      <c r="Z145" t="inlineStr">
        <is>
          <t>STEM, Research</t>
        </is>
      </c>
      <c r="AA145" s="5" t="n">
        <v>46313</v>
      </c>
      <c r="AB145" s="5" t="n">
        <v>46313</v>
      </c>
      <c r="AC145">
        <f>IF(AND(E145&lt;&gt;"",COUNTIF($E$2:$E$800,E145)&gt;1),"DUPLICATE","")</f>
        <v/>
      </c>
    </row>
    <row r="146">
      <c r="A146" t="inlineStr">
        <is>
          <t>tigp-iip-academia-sinica-international-internship-taiwan</t>
        </is>
      </c>
      <c r="B146" t="inlineStr">
        <is>
          <t>Open</t>
        </is>
      </c>
      <c r="D146" t="inlineStr">
        <is>
          <t>Internship</t>
        </is>
      </c>
      <c r="E146" t="inlineStr">
        <is>
          <t>TIGP-IIP (Taiwan International Graduate Program International Internship)</t>
        </is>
      </c>
      <c r="F146" t="inlineStr">
        <is>
          <t>Academia Sinica — Taipei</t>
        </is>
      </c>
      <c r="G146" t="inlineStr">
        <is>
          <t>Asia</t>
        </is>
      </c>
      <c r="H146" t="inlineStr">
        <is>
          <t>Taiwan</t>
        </is>
      </c>
      <c r="I146" t="inlineStr">
        <is>
          <t>Bachelor, Master</t>
        </is>
      </c>
      <c r="J146" t="inlineStr">
        <is>
          <t>Health &amp; Life Sciences, Mathematics &amp; Natural Sciences, Engineering &amp; Technology, Computer Science, Data &amp; AI, Environment, Water &amp; Energy</t>
        </is>
      </c>
      <c r="K146" t="inlineStr">
        <is>
          <t>Full</t>
        </is>
      </c>
      <c r="L146" t="inlineStr">
        <is>
          <t>Full Fellowship (NTD 30,000/mo Tax-Free Stipend for 2 months + 50% Round-Trip Economy Airfare Subsidy + Arranged On-Campus Housing)</t>
        </is>
      </c>
      <c r="M146" t="inlineStr">
        <is>
          <t>Jan 1 – Feb 28 (Annual cycle for 2-month May–August summer research internship)</t>
        </is>
      </c>
      <c r="N146" t="inlineStr">
        <is>
          <t>Open to all nationalities worldwide; pre-final year undergraduate students (e.g., 3rd year of 4-year Bachelor’s), final-year undergraduates not yet admitted to a PhD, or current Master’s students not enrolled in a PhD across STEM and Life Sciences.</t>
        </is>
      </c>
      <c r="O146" t="inlineStr">
        <is>
          <t>Very High: Online TIGP-IIP Portal Application + Statement of Purpose + Selection of TIGP Program &amp; Host PI + Transcripts + 2 Reference Letters</t>
        </is>
      </c>
      <c r="P146" t="inlineStr">
        <is>
          <t>STEM &amp; Life Science Bachelor’s and Master’s Students Exploring Funded PhDs at Academia Sinica</t>
        </is>
      </c>
      <c r="Q146" t="inlineStr">
        <is>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is>
      </c>
      <c r="R146" t="inlineStr">
        <is>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is>
      </c>
      <c r="S146" t="inlineStr">
        <is>
          <t>Eligibility Verification → Direct Review &amp; Shortlisting by Target Academia Sinica PIs &amp; TIGP Program Coordinators (March) → Final Admission Results in Late March/April.</t>
        </is>
      </c>
      <c r="T146" t="inlineStr">
        <is>
          <t>3rd-year Bachelor’s and current Master’s students in chemistry, nanoscience, molecular biology, or AI who contact their prospective Academia Sinica PI in January and express interest in returning for the TIGP PhD program.</t>
        </is>
      </c>
      <c r="V146" t="inlineStr">
        <is>
          <t>https://tigp-iip.sinica.edu.tw/</t>
        </is>
      </c>
      <c r="Z146" t="inlineStr">
        <is>
          <t>STEM, Research</t>
        </is>
      </c>
      <c r="AA146" s="5" t="n">
        <v>46313</v>
      </c>
      <c r="AB146" s="5" t="n">
        <v>46313</v>
      </c>
      <c r="AC146">
        <f>IF(AND(E146&lt;&gt;"",COUNTIF($E$2:$E$800,E146)&gt;1),"DUPLICATE","")</f>
        <v/>
      </c>
    </row>
    <row r="147">
      <c r="A147" t="inlineStr">
        <is>
          <t>nstc-iipp-international-internship-pilot-program-taiwan</t>
        </is>
      </c>
      <c r="B147" t="inlineStr">
        <is>
          <t>Open</t>
        </is>
      </c>
      <c r="D147" t="inlineStr">
        <is>
          <t>Internship</t>
        </is>
      </c>
      <c r="E147" t="inlineStr">
        <is>
          <t>NSTC International Internship Pilot Program (IIPP) — Taiwan</t>
        </is>
      </c>
      <c r="F147" t="inlineStr">
        <is>
          <t>National Science and Technology Council (NSTC) — Government of Taiwan</t>
        </is>
      </c>
      <c r="G147" t="inlineStr">
        <is>
          <t>Asia</t>
        </is>
      </c>
      <c r="H147" t="inlineStr">
        <is>
          <t>Taiwan</t>
        </is>
      </c>
      <c r="I147" t="inlineStr">
        <is>
          <t>Bachelor, Master, PhD</t>
        </is>
      </c>
      <c r="J147" t="inlineStr">
        <is>
          <t>Engineering &amp; Technology, Computer Science, Data &amp; AI, Mathematics &amp; Natural Sciences, Health &amp; Life Sciences, Social Sciences &amp; Humanities</t>
        </is>
      </c>
      <c r="K147" t="inlineStr">
        <is>
          <t>Full</t>
        </is>
      </c>
      <c r="L147" t="inlineStr">
        <is>
          <t>Paid Monthly Subsidy (NTD 30,000/mo for up to 3 months / 90 days)</t>
        </is>
      </c>
      <c r="M147" t="inlineStr">
        <is>
          <t>May – Oct (Rolling window; apply at least 2 months before desired start date between June and December)</t>
        </is>
      </c>
      <c r="N147" t="inlineStr">
        <is>
          <t>Open to international Bachelor’s, Master’s, and PhD students worldwide (excluding Mainland China, Hong Kong, and Macau) enrolled at recognized foreign universities in Taiwan’s key scientific and technological research fields; fluent in English or Chinese.</t>
        </is>
      </c>
      <c r="O147" t="inlineStr">
        <is>
          <t>Medium: Online NSTC IIPP Portal Registration + CV + Statement of Research Interest + Matching with a Taiwanese Professor (NTU, NTHU, NYCU, NCKU, Academia Sinica)</t>
        </is>
      </c>
      <c r="P147" t="inlineStr">
        <is>
          <t>Bachelor’s, Master’s &amp; PhD Students Seeking 1-to-3-Month Funded Lab Internships at Top Taiwanese Universities</t>
        </is>
      </c>
      <c r="Q147" t="inlineStr">
        <is>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is>
      </c>
      <c r="R147" t="inlineStr">
        <is>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is>
      </c>
      <c r="S147" t="inlineStr">
        <is>
          <t>Profile Registration on IIPP Platform → Direct Matching &amp; Online Interview with a Hosting Taiwanese Principal Investigator → NSTC Subsidy Approval.</t>
        </is>
      </c>
      <c r="T147" t="inlineStr">
        <is>
          <t>Proactive Bachelor’s, Master’s, and PhD researchers who browse the open lab calls on the NSTC IIPP platform and message the hosting professor at NTU, NTHU, or NYCU to confirm a mutual match early.</t>
        </is>
      </c>
      <c r="V147" t="inlineStr">
        <is>
          <t>https://iipp.tw/</t>
        </is>
      </c>
      <c r="Z147" t="inlineStr">
        <is>
          <t>STEM, Research</t>
        </is>
      </c>
      <c r="AA147" s="5" t="n">
        <v>46313</v>
      </c>
      <c r="AB147" s="5" t="n">
        <v>46313</v>
      </c>
      <c r="AC147">
        <f>IF(AND(E147&lt;&gt;"",COUNTIF($E$2:$E$800,E147)&gt;1),"DUPLICATE","")</f>
        <v/>
      </c>
    </row>
    <row r="148">
      <c r="A148" t="inlineStr">
        <is>
          <t>gist-global-intern-program-gip-south-korea</t>
        </is>
      </c>
      <c r="B148" t="inlineStr">
        <is>
          <t>Open</t>
        </is>
      </c>
      <c r="D148" t="inlineStr">
        <is>
          <t>Internship</t>
        </is>
      </c>
      <c r="E148" t="inlineStr">
        <is>
          <t>GIST Global Intern Program (GIP)</t>
        </is>
      </c>
      <c r="F148" t="inlineStr">
        <is>
          <t>Gwangju Institute of Science and Technology (GIST) — Gwangju</t>
        </is>
      </c>
      <c r="G148" t="inlineStr">
        <is>
          <t>Asia</t>
        </is>
      </c>
      <c r="H148" t="inlineStr">
        <is>
          <t>South Korea</t>
        </is>
      </c>
      <c r="I148" t="inlineStr">
        <is>
          <t>Bachelor, Master</t>
        </is>
      </c>
      <c r="J148" t="inlineStr">
        <is>
          <t>Engineering &amp; Technology, Computer Science, Data &amp; AI, Mathematics &amp; Natural Sciences, Health &amp; Life Sciences, Environment, Water &amp; Energy</t>
        </is>
      </c>
      <c r="K148" t="inlineStr">
        <is>
          <t>Full</t>
        </is>
      </c>
      <c r="L148" t="inlineStr">
        <is>
          <t>Full Fellowship (KRW 500,000/mo Stipend + 50% Round-Trip International Airfare Reimbursement + Free Dormitory Housing + Korean Language Class &amp; Cultural Field Trips)</t>
        </is>
      </c>
      <c r="M148" t="inlineStr">
        <is>
          <t>Jan – Mar (Annual cycle for 8-week June–August summer research internship)</t>
        </is>
      </c>
      <c r="N148" t="inlineStr">
        <is>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is>
      </c>
      <c r="O148" t="inlineStr">
        <is>
          <t>High: Online GIST GIP Application + Research Plan + Preferred Lab Selection (1–2 GIST Labs) + Official Transcripts + 1 Recommendation Letter + English Proficiency Proof</t>
        </is>
      </c>
      <c r="P148" t="inlineStr">
        <is>
          <t>Senior Bachelor’s &amp; Master’s STEM Students Targeting Funded Graduate Study in South Korea</t>
        </is>
      </c>
      <c r="Q148" t="inlineStr">
        <is>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is>
      </c>
      <c r="R148" t="inlineStr">
        <is>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is>
      </c>
      <c r="S148" t="inlineStr">
        <is>
          <t>Document &amp; GPA Screening by GIST International Admissions → Lab Matching &amp; Approval by GIST Host Professor (April) → Final Selection Notification.</t>
        </is>
      </c>
      <c r="T148" t="inlineStr">
        <is>
          <t>3rd/4th-year Bachelor’s and Master’s students in materials science, chemical engineering, electrical engineering, or AI who email their target GIST professor before applying to confirm lab availability.</t>
        </is>
      </c>
      <c r="V148" t="inlineStr">
        <is>
          <t>https://ipa.gist.ac.kr/</t>
        </is>
      </c>
      <c r="Z148" t="inlineStr">
        <is>
          <t>STEM, Research</t>
        </is>
      </c>
      <c r="AA148" s="5" t="n">
        <v>46313</v>
      </c>
      <c r="AB148" s="5" t="n">
        <v>46313</v>
      </c>
      <c r="AC148">
        <f>IF(AND(E148&lt;&gt;"",COUNTIF($E$2:$E$800,E148)&gt;1),"DUPLICATE","")</f>
        <v/>
      </c>
    </row>
    <row r="149">
      <c r="A149" t="inlineStr">
        <is>
          <t>astar-sipga-singapore-international-pre-graduate-award</t>
        </is>
      </c>
      <c r="B149" t="inlineStr">
        <is>
          <t>Open</t>
        </is>
      </c>
      <c r="D149" t="inlineStr">
        <is>
          <t>Internship</t>
        </is>
      </c>
      <c r="E149" t="inlineStr">
        <is>
          <t>A*STAR SIPGA (Singapore International Pre-Graduate Award)</t>
        </is>
      </c>
      <c r="F149" t="inlineStr">
        <is>
          <t>Agency for Science, Technology and Research (A*STAR) — Singapore</t>
        </is>
      </c>
      <c r="G149" t="inlineStr">
        <is>
          <t>Asia</t>
        </is>
      </c>
      <c r="H149" t="inlineStr">
        <is>
          <t>Singapore</t>
        </is>
      </c>
      <c r="I149" t="inlineStr">
        <is>
          <t>Bachelor, Master</t>
        </is>
      </c>
      <c r="J149" t="inlineStr">
        <is>
          <t>Engineering &amp; Technology, Computer Science, Data &amp; AI, Mathematics &amp; Natural Sciences, Health &amp; Life Sciences</t>
        </is>
      </c>
      <c r="K149" t="inlineStr">
        <is>
          <t>Full</t>
        </is>
      </c>
      <c r="L149" t="inlineStr">
        <is>
          <t>Paid Monthly Stipend (SGD 2,000/mo Tax-Free Stipend for 2 to 6 months)</t>
        </is>
      </c>
      <c r="M149" t="inlineStr">
        <is>
          <t>Oct 15 (For Mar–Aug start) &amp; Apr 15 (For Sep–Feb start) — Bi-annual application windows</t>
        </is>
      </c>
      <c r="N149" t="inlineStr">
        <is>
          <t>Open to international 3rd- and 4th-year undergraduate and Master’s students enrolled at overseas universities in Biomedical Sciences, Physical Sciences, Chemistry, Materials Science, Engineering, or Computing/AI; First-Class Honours / top academic standing.</t>
        </is>
      </c>
      <c r="O149" t="inlineStr">
        <is>
          <t>Very High: Prior Nomination by an A*STAR Researcher (or Application to Posted SIPGA Projects) + Online A*STAR Portal Submission + CV + Transcripts + Reference</t>
        </is>
      </c>
      <c r="P149" t="inlineStr">
        <is>
          <t>High-GPA 3rd/4th-Year Bachelor’s &amp; Master’s Students Seeking 2-to-6-Month Research Stays in Singapore</t>
        </is>
      </c>
      <c r="Q149" t="inlineStr">
        <is>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is>
      </c>
      <c r="R149" t="inlineStr">
        <is>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is>
      </c>
      <c r="S149" t="inlineStr">
        <is>
          <t>Step 1: Identification &amp; Interview with an A*STAR Research Supervisor → Step 2: Supervisor Nomination to A*STAR Graduate Academy → Step 3: Central Merit Review &amp; Stipend Award.</t>
        </is>
      </c>
      <c r="T149" t="inlineStr">
        <is>
          <t>Top-decile STEM students who reach out to an A*STAR scientist 5–6 months ahead of their target attachment window to secure a project match and supervisor nomination before the October 15 or April 15 cutoff.</t>
        </is>
      </c>
      <c r="V149" t="inlineStr">
        <is>
          <t>https://www.a-star.edu.sg/Scholarships/for-graduate-studies/singapore-international-pre-graduate-award-sipga</t>
        </is>
      </c>
      <c r="Z149" t="inlineStr">
        <is>
          <t>STEM, Research</t>
        </is>
      </c>
      <c r="AA149" s="5" t="n">
        <v>46313</v>
      </c>
      <c r="AB149" s="5" t="n">
        <v>46313</v>
      </c>
      <c r="AC149">
        <f>IF(AND(E149&lt;&gt;"",COUNTIF($E$2:$E$800,E149)&gt;1),"DUPLICATE","")</f>
        <v/>
      </c>
    </row>
    <row r="150">
      <c r="A150" t="inlineStr">
        <is>
          <t>nus-amgen-scholars-program-national-university-of-singapore</t>
        </is>
      </c>
      <c r="B150" t="inlineStr">
        <is>
          <t>Open</t>
        </is>
      </c>
      <c r="D150" t="inlineStr">
        <is>
          <t>Internship</t>
        </is>
      </c>
      <c r="E150" t="inlineStr">
        <is>
          <t>NUS Amgen Scholars Program (National University of Singapore)</t>
        </is>
      </c>
      <c r="F150" t="inlineStr">
        <is>
          <t>National University of Singapore (NUS) &amp; Amgen Foundation — Singapore</t>
        </is>
      </c>
      <c r="G150" t="inlineStr">
        <is>
          <t>Asia</t>
        </is>
      </c>
      <c r="H150" t="inlineStr">
        <is>
          <t>Singapore</t>
        </is>
      </c>
      <c r="I150" t="inlineStr">
        <is>
          <t>Bachelor</t>
        </is>
      </c>
      <c r="J150" t="inlineStr">
        <is>
          <t>Health &amp; Life Sciences, Engineering &amp; Technology, Mathematics &amp; Natural Sciences, Computer Science, Data &amp; AI</t>
        </is>
      </c>
      <c r="K150" t="inlineStr">
        <is>
          <t>Full</t>
        </is>
      </c>
      <c r="L150" t="inlineStr">
        <is>
          <t>Full Ride (SGD 6,000 Stipend + Free On-Campus Accommodation at NUS UTown + Round-Trip Economy Airfare + Paid Amgen Scholars Asia Symposium)</t>
        </is>
      </c>
      <c r="M150" t="inlineStr">
        <is>
          <t>Nov 1 – Feb 1 (Annual cycle for 8-week June–August summer research program)</t>
        </is>
      </c>
      <c r="N150" t="inlineStr">
        <is>
          <t>Undergraduate students enrolled in accredited colleges/universities across Asia-Pacific who have completed at least their 1st year of Bachelor’s study and are not graduating before the summer ends; strong academic record and commitment to a research PhD.</t>
        </is>
      </c>
      <c r="O150" t="inlineStr">
        <is>
          <t>Very High: Online NUS Portal Application + Personal Statement + Research Project Choices (up to 3 NUS PIs) + Official Transcripts + 2 Reference Letters</t>
        </is>
      </c>
      <c r="P150" t="inlineStr">
        <is>
          <t>Top Undergraduate Students Across Asia Targeting Biomedical, Chemical &amp; Bioengineering Research at NUS</t>
        </is>
      </c>
      <c r="Q150" t="inlineStr">
        <is>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is>
      </c>
      <c r="R150" t="inlineStr">
        <is>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is>
      </c>
      <c r="S150" t="inlineStr">
        <is>
          <t>Holistic Evaluation of Academic GPA, Research Potential &amp; PhD Aspiration → Lab Matching by NUS Participating Faculty → Offers Released in March.</t>
        </is>
      </c>
      <c r="T150" t="inlineStr">
        <is>
          <t>2nd- and 3rd-year undergraduates from universities across Asia (including Bangladesh, India, Pakistan, Southeast &amp; East Asia) with top grades and a clear goal of pursuing a biomedical or chemical/bioengineering PhD.</t>
        </is>
      </c>
      <c r="V150" t="inlineStr">
        <is>
          <t>https://www.nus.edu.sg/gro/global-programmes/amgen-scholars-program</t>
        </is>
      </c>
      <c r="Z150" t="inlineStr">
        <is>
          <t>STEM, Research</t>
        </is>
      </c>
      <c r="AA150" s="5" t="n">
        <v>46313</v>
      </c>
      <c r="AB150" s="5" t="n">
        <v>46313</v>
      </c>
      <c r="AC150">
        <f>IF(AND(E150&lt;&gt;"",COUNTIF($E$2:$E$800,E150)&gt;1),"DUPLICATE","")</f>
        <v/>
      </c>
    </row>
    <row r="151">
      <c r="A151" t="inlineStr">
        <is>
          <t>tsinghua-amgen-scholars-program-beijing-china</t>
        </is>
      </c>
      <c r="B151" t="inlineStr">
        <is>
          <t>Open</t>
        </is>
      </c>
      <c r="D151" t="inlineStr">
        <is>
          <t>Internship</t>
        </is>
      </c>
      <c r="E151" t="inlineStr">
        <is>
          <t>Tsinghua University Amgen Scholars Program</t>
        </is>
      </c>
      <c r="F151" t="inlineStr">
        <is>
          <t>Tsinghua University &amp; Amgen Foundation — Beijing</t>
        </is>
      </c>
      <c r="G151" t="inlineStr">
        <is>
          <t>Asia</t>
        </is>
      </c>
      <c r="H151" t="inlineStr">
        <is>
          <t>China</t>
        </is>
      </c>
      <c r="I151" t="inlineStr">
        <is>
          <t>Bachelor</t>
        </is>
      </c>
      <c r="J151" t="inlineStr">
        <is>
          <t>Health &amp; Life Sciences, Engineering &amp; Technology, Mathematics &amp; Natural Sciences, Computer Science, Data &amp; AI</t>
        </is>
      </c>
      <c r="K151" t="inlineStr">
        <is>
          <t>Full</t>
        </is>
      </c>
      <c r="L151" t="inlineStr">
        <is>
          <t>Full Ride (CNY 15,000 Stipend + Free On-Campus Accommodation at Tsinghua + Round-Trip Economy Airfare + Paid Trip to Amgen Scholars Asia Symposium)</t>
        </is>
      </c>
      <c r="M151" t="inlineStr">
        <is>
          <t>Nov 1 – Feb 1 (Annual cycle for 8-week June–August summer research program in English)</t>
        </is>
      </c>
      <c r="N151" t="inlineStr">
        <is>
          <t>Open to undergraduate students enrolled at accredited universities worldwide (both inside and outside Asia); completed at least 1 year of Bachelor’s study and returning for at least 1 semester after August; GPA ≥ 3.2/4.0; working language is 100% English.</t>
        </is>
      </c>
      <c r="O151" t="inlineStr">
        <is>
          <t>Very High: Tsinghua Amgen Portal Application + Statement of Purpose + Selection of Tsinghua Mentor + Official Transcripts + 2 Reference Letters</t>
        </is>
      </c>
      <c r="P151" t="inlineStr">
        <is>
          <t>Global Undergraduates Interested in Structural Biology, Pharmaceutical Sciences, AI-for-Science &amp; Biomedical Engineering</t>
        </is>
      </c>
      <c r="Q151" t="inlineStr">
        <is>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is>
      </c>
      <c r="R151" t="inlineStr">
        <is>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is>
      </c>
      <c r="S151" t="inlineStr">
        <is>
          <t>Academic &amp; Research Potential Screening → Direct Review &amp; Video Interview by Tsinghua Host Faculty → Final Award Notification in March.</t>
        </is>
      </c>
      <c r="T151" t="inlineStr">
        <is>
          <t>Undergraduates worldwide (including Europe, South Asia, and the Americas) interested in structural biology, chemical biology, or pharmaceutical sciences who want fully funded summer research at China’s top STEM university.</t>
        </is>
      </c>
      <c r="V151" t="inlineStr">
        <is>
          <t>http://amgenscholars.tsinghua.edu.cn/</t>
        </is>
      </c>
      <c r="Z151" t="inlineStr">
        <is>
          <t>STEM, Research</t>
        </is>
      </c>
      <c r="AA151" s="5" t="n">
        <v>46313</v>
      </c>
      <c r="AB151" s="5" t="n">
        <v>46313</v>
      </c>
      <c r="AC151">
        <f>IF(AND(E151&lt;&gt;"",COUNTIF($E$2:$E$800,E151)&gt;1),"DUPLICATE","")</f>
        <v/>
      </c>
    </row>
    <row r="152">
      <c r="A152" t="inlineStr">
        <is>
          <t>westlake-university-international-summer-research-internship-china</t>
        </is>
      </c>
      <c r="B152" t="inlineStr">
        <is>
          <t>Open</t>
        </is>
      </c>
      <c r="D152" t="inlineStr">
        <is>
          <t>Internship</t>
        </is>
      </c>
      <c r="E152" t="inlineStr">
        <is>
          <t>Westlake University International Summer Research Internship</t>
        </is>
      </c>
      <c r="F152" t="inlineStr">
        <is>
          <t>Westlake University — Hangzhou, Zhejiang</t>
        </is>
      </c>
      <c r="G152" t="inlineStr">
        <is>
          <t>Asia</t>
        </is>
      </c>
      <c r="H152" t="inlineStr">
        <is>
          <t>China</t>
        </is>
      </c>
      <c r="I152" t="inlineStr">
        <is>
          <t>Bachelor, Master</t>
        </is>
      </c>
      <c r="J152" t="inlineStr">
        <is>
          <t>Health &amp; Life Sciences, Mathematics &amp; Natural Sciences, Engineering &amp; Technology, Computer Science, Data &amp; AI</t>
        </is>
      </c>
      <c r="K152" t="inlineStr">
        <is>
          <t>Full</t>
        </is>
      </c>
      <c r="L152" t="inlineStr">
        <is>
          <t>Full Fellowship (Program Fee Waived + Living Stipend ~CNY 2,475 + Free On-Campus Dormitory + Up to CNY 5,000–8,000 International Airfare Reimbursement)</t>
        </is>
      </c>
      <c r="M152" t="inlineStr">
        <is>
          <t>Feb – Apr 10 (Annual cycle for 4-to-6-week July–August summer research internship)</t>
        </is>
      </c>
      <c r="N152" t="inlineStr">
        <is>
          <t>Non-Chinese citizens currently enrolled as sophomore, junior, or senior Bachelor’s students or Master’s students at accredited universities worldwide in Biology, Chemistry, Physics, Materials Science, Electronics, Optical Engineering, or Computer Science/AI.</t>
        </is>
      </c>
      <c r="O152" t="inlineStr">
        <is>
          <t>High: Online Westlake Application + Personal Statement + Lab Selection (up to 2 Westlake PIs) + Official Transcripts + CV</t>
        </is>
      </c>
      <c r="P152" t="inlineStr">
        <is>
          <t>STEM &amp; Life Science Bachelor’s and Master’s Students Exploring English-Medium Labs in China</t>
        </is>
      </c>
      <c r="Q152" t="inlineStr">
        <is>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is>
      </c>
      <c r="R152" t="inlineStr">
        <is>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is>
      </c>
      <c r="S152" t="inlineStr">
        <is>
          <t>Central Academic Triage → Direct Selection by Westlake Principal Investigators (April–May) → Visa Invitation &amp; Fellowship Offer.</t>
        </is>
      </c>
      <c r="T152" t="inlineStr">
        <is>
          <t>Sophomore to Master’s students in chemistry, materials science, bioengineering, or AI who want an intensive summer lab rotation at a modern, 100% English-medium research campus in Hangzhou.</t>
        </is>
      </c>
      <c r="V152" t="inlineStr">
        <is>
          <t>https://en.westlake.edu.cn/admissions/summer_sessions/international_summer_research_internship/</t>
        </is>
      </c>
      <c r="Z152" t="inlineStr">
        <is>
          <t>STEM, Research</t>
        </is>
      </c>
      <c r="AA152" s="5" t="n">
        <v>46313</v>
      </c>
      <c r="AB152" s="5" t="n">
        <v>46313</v>
      </c>
      <c r="AC152">
        <f>IF(AND(E152&lt;&gt;"",COUNTIF($E$2:$E$800,E152)&gt;1),"DUPLICATE","")</f>
        <v/>
      </c>
    </row>
    <row r="153">
      <c r="A153" t="inlineStr">
        <is>
          <t>cuhk-surp-summer-undergraduate-research-programme-hong-kong</t>
        </is>
      </c>
      <c r="B153" t="inlineStr">
        <is>
          <t>Open</t>
        </is>
      </c>
      <c r="D153" t="inlineStr">
        <is>
          <t>Internship</t>
        </is>
      </c>
      <c r="E153" t="inlineStr">
        <is>
          <t>CUHK Summer Undergraduate Research Programme (SURP)</t>
        </is>
      </c>
      <c r="F153" t="inlineStr">
        <is>
          <t>The Chinese University of Hong Kong (CUHK) — Office of Academic Links (Hong Kong SAR)</t>
        </is>
      </c>
      <c r="G153" t="inlineStr">
        <is>
          <t>Asia</t>
        </is>
      </c>
      <c r="H153" t="inlineStr">
        <is>
          <t>Hong Kong</t>
        </is>
      </c>
      <c r="I153" t="inlineStr">
        <is>
          <t>Bachelor</t>
        </is>
      </c>
      <c r="J153" t="inlineStr">
        <is>
          <t>All fields</t>
        </is>
      </c>
      <c r="K153" t="inlineStr">
        <is>
          <t>Full</t>
        </is>
      </c>
      <c r="L153" t="inlineStr">
        <is>
          <t>Tuition-Free Research Placement + On-Campus Housing Subsidy / Stipend Options (Varies by host department/partner agreement; 3 academic credits awarded)</t>
        </is>
      </c>
      <c r="M153" t="inlineStr">
        <is>
          <t>Jan – Feb 28 (Annual cycle for 8-week June–August research attachment)</t>
        </is>
      </c>
      <c r="N153" t="inlineStr">
        <is>
          <t>Full-time undergraduate students (typically Year 2 or Year 3) enrolled at recognized non-local universities worldwide across Arts, Business, Education, Engineering, Law, Medicine, Science, or Social Science; minimum GPA 3.0/4.0.</t>
        </is>
      </c>
      <c r="O153" t="inlineStr">
        <is>
          <t>High: Online CUHK SURP Application + Selection of 1 Approved CUHK Research Project + Statement of Interest + Transcripts + 1 Reference Letter</t>
        </is>
      </c>
      <c r="P153" t="inlineStr">
        <is>
          <t>2nd/3rd-Year Undergraduates Across All Disciplines Seeking an 8-Week Supervised Research Project in Hong Kong</t>
        </is>
      </c>
      <c r="Q153" t="inlineStr">
        <is>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is>
      </c>
      <c r="R153" t="inlineStr">
        <is>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is>
      </c>
      <c r="S153" t="inlineStr">
        <is>
          <t>Eligibility Verification by CUHK Office of Academic Links → Direct Project Selection by the Hosting CUHK Professor (March) → Offer Issuance in April.</t>
        </is>
      </c>
      <c r="T153" t="inlineStr">
        <is>
          <t>Undergraduates who carefully check the project-specific prerequisites posted by CUHK professors in January and contact the faculty supervisor to express interest before submitting their single project choice.</t>
        </is>
      </c>
      <c r="V153" t="inlineStr">
        <is>
          <t>https://www.summer.cuhk.edu.hk/surp/</t>
        </is>
      </c>
      <c r="Z153" t="inlineStr">
        <is>
          <t>STEM, Research</t>
        </is>
      </c>
      <c r="AA153" s="5" t="n">
        <v>46313</v>
      </c>
      <c r="AB153" s="5" t="n">
        <v>46313</v>
      </c>
      <c r="AC153">
        <f>IF(AND(E153&lt;&gt;"",COUNTIF($E$2:$E$800,E153)&gt;1),"DUPLICATE","")</f>
        <v/>
      </c>
    </row>
    <row r="154">
      <c r="A154" t="inlineStr">
        <is>
          <t>hkust-international-visiting-internship-student-program-hong-kong</t>
        </is>
      </c>
      <c r="B154" t="inlineStr">
        <is>
          <t>Open</t>
        </is>
      </c>
      <c r="D154" t="inlineStr">
        <is>
          <t>Internship</t>
        </is>
      </c>
      <c r="E154" t="inlineStr">
        <is>
          <t>HKUST International Visiting Internship Student Program</t>
        </is>
      </c>
      <c r="F154" t="inlineStr">
        <is>
          <t>The Hong Kong University of Science and Technology (HKUST) — Clear Water Bay</t>
        </is>
      </c>
      <c r="G154" t="inlineStr">
        <is>
          <t>Asia</t>
        </is>
      </c>
      <c r="H154" t="inlineStr">
        <is>
          <t>Hong Kong</t>
        </is>
      </c>
      <c r="I154" t="inlineStr">
        <is>
          <t>Bachelor, Master, PhD</t>
        </is>
      </c>
      <c r="J154" t="inlineStr">
        <is>
          <t>Engineering &amp; Technology, Computer Science, Data &amp; AI, Mathematics &amp; Natural Sciences, Business, Economics &amp; Management, Environment, Water &amp; Energy</t>
        </is>
      </c>
      <c r="K154" t="inlineStr">
        <is>
          <t>Full</t>
        </is>
      </c>
      <c r="L154" t="inlineStr">
        <is>
          <t>Paid Monthly Stipend (~HKD 10,000–12,000/mo provided by the hosting HKUST faculty member’s research grant to cover housing &amp; living costs)</t>
        </is>
      </c>
      <c r="M154" t="inlineStr">
        <is>
          <t>Year-round rolling applications (Apply at least 3–4 months prior to desired start date; 2 to 6 months duration)</t>
        </is>
      </c>
      <c r="N154" t="inlineStr">
        <is>
          <t>Open to senior undergraduate (Year 3/4) and current postgraduate (Master’s/PhD) students enrolled at recognized overseas universities worldwide across Science, Engineering, AI, Environment, or Business.</t>
        </is>
      </c>
      <c r="O154" t="inlineStr">
        <is>
          <t>High: Prior Agreement from an HKUST Faculty Supervisor + Online HKUST Visiting Intern Application + Transcripts + Enrollment Proof + Hong Kong Training Visa Dossier</t>
        </is>
      </c>
      <c r="P154" t="inlineStr">
        <is>
          <t>Senior Bachelor’s, Master’s &amp; PhD Students Seeking 2-to-6-Month Paid Research Attachments at HKUST</t>
        </is>
      </c>
      <c r="Q154" t="inlineStr">
        <is>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is>
      </c>
      <c r="R154" t="inlineStr">
        <is>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is>
      </c>
      <c r="S154" t="inlineStr">
        <is>
          <t>Direct Email Pitch &amp; Video Interview with an HKUST Professor → Formal Departmental Nomination → HKUST Registry Approval &amp; Hong Kong Training Visa Issuance (8–10 weeks).</t>
        </is>
      </c>
      <c r="T154" t="inlineStr">
        <is>
          <t>Master’s, PhD, and senior Bachelor’s researchers in chemical engineering, materials science, robotics, or AI who email an HKUST professor with a targeted research proposal 4–5 months before their planned visit.</t>
        </is>
      </c>
      <c r="V154" t="inlineStr">
        <is>
          <t>https://prog-crs.ust.hk/visiting-internship</t>
        </is>
      </c>
      <c r="Z154" t="inlineStr">
        <is>
          <t>STEM, Research</t>
        </is>
      </c>
      <c r="AA154" s="5" t="n">
        <v>46313</v>
      </c>
      <c r="AB154" s="5" t="n">
        <v>46313</v>
      </c>
      <c r="AC154">
        <f>IF(AND(E154&lt;&gt;"",COUNTIF($E$2:$E$800,E154)&gt;1),"DUPLICATE","")</f>
        <v/>
      </c>
    </row>
    <row r="155">
      <c r="A155" t="inlineStr">
        <is>
          <t>mitacs-globalink-research-internship-gri-canada</t>
        </is>
      </c>
      <c r="B155" t="inlineStr">
        <is>
          <t>Open</t>
        </is>
      </c>
      <c r="D155" t="inlineStr">
        <is>
          <t>Internship</t>
        </is>
      </c>
      <c r="E155" t="inlineStr">
        <is>
          <t>Mitacs Globalink Research Internship (GRI)</t>
        </is>
      </c>
      <c r="F155" t="inlineStr">
        <is>
          <t>Mitacs &amp; Canadian Federal/Provincial Governments — 70+ Canadian Universities</t>
        </is>
      </c>
      <c r="G155" t="inlineStr">
        <is>
          <t>North America</t>
        </is>
      </c>
      <c r="H155" t="inlineStr">
        <is>
          <t>Canada</t>
        </is>
      </c>
      <c r="I155" t="inlineStr">
        <is>
          <t>Bachelor</t>
        </is>
      </c>
      <c r="J155" t="inlineStr">
        <is>
          <t>All fields</t>
        </is>
      </c>
      <c r="K155" t="inlineStr">
        <is>
          <t>Full</t>
        </is>
      </c>
      <c r="L155" t="inlineStr">
        <is>
          <t>Full Ride (CAD 12,000+ Package covering Round-Trip Airfare, Airport Transfers, Housing Stipend, Daily Living &amp; Food Stipend, Health Insurance, Student Fees + CAD 15,000 Globalink Graduate Fellowship if returning for Master’s/PhD)</t>
        </is>
      </c>
      <c r="M155" t="inlineStr">
        <is>
          <t>Aug – Sep 18 (Annual early-autumn deadline for 12-week May–October summer internships)</t>
        </is>
      </c>
      <c r="N155" t="inlineStr">
        <is>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is>
      </c>
      <c r="O155" t="inlineStr">
        <is>
          <t>Very High: Mitacs GRI Portal Application + Selection of 3 to 7 Projects across at least 3 Canadian Provinces + CV + Transcripts + 1 Academic Reference Letter</t>
        </is>
      </c>
      <c r="P155" t="inlineStr">
        <is>
          <t>3rd-Year Undergraduate Students Across All Disciplines Targeting Funded Canadian Research &amp; Graduate Study</t>
        </is>
      </c>
      <c r="Q155" t="inlineStr">
        <is>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is>
      </c>
      <c r="R155" t="inlineStr">
        <is>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is>
      </c>
      <c r="S155" t="inlineStr">
        <is>
          <t>Eligibility &amp; GPA Verification → Algorithmic Skill &amp; Keyword Matching with Canadian Host Professors → Video Interviews with Canadian Faculty (Nov–Jan) → Wave 1 &amp; Wave 2 Matching Offers (Jan–Feb).</t>
        </is>
      </c>
      <c r="T155" t="inlineStr">
        <is>
          <t>Students who align the exact technical keywords in their Mitacs portal profile and CV with all 7 of their selected Canadian projects and respond promptly to professor interview invitations in November/December.</t>
        </is>
      </c>
      <c r="V155" t="inlineStr">
        <is>
          <t>https://www.mitacs.ca/our-programs/globalink-research-internship-students/</t>
        </is>
      </c>
      <c r="Z155" t="inlineStr">
        <is>
          <t>STEM, Research</t>
        </is>
      </c>
      <c r="AA155" s="5" t="n">
        <v>46313</v>
      </c>
      <c r="AB155" s="5" t="n">
        <v>46313</v>
      </c>
      <c r="AC155">
        <f>IF(AND(E155&lt;&gt;"",COUNTIF($E$2:$E$800,E155)&gt;1),"DUPLICATE","")</f>
        <v/>
      </c>
    </row>
    <row r="156">
      <c r="A156" t="inlineStr">
        <is>
          <t>caltech-surf-summer-undergraduate-research-fellowships-usa</t>
        </is>
      </c>
      <c r="B156" t="inlineStr">
        <is>
          <t>Open</t>
        </is>
      </c>
      <c r="D156" t="inlineStr">
        <is>
          <t>Internship</t>
        </is>
      </c>
      <c r="E156" t="inlineStr">
        <is>
          <t>Caltech SURF (Summer Undergraduate Research Fellowships)</t>
        </is>
      </c>
      <c r="F156" t="inlineStr">
        <is>
          <t>California Institute of Technology (Caltech) &amp; NASA JPL — Pasadena, California</t>
        </is>
      </c>
      <c r="G156" t="inlineStr">
        <is>
          <t>North America</t>
        </is>
      </c>
      <c r="H156" t="inlineStr">
        <is>
          <t>United States</t>
        </is>
      </c>
      <c r="I156" t="inlineStr">
        <is>
          <t>Bachelor</t>
        </is>
      </c>
      <c r="J156" t="inlineStr">
        <is>
          <t>Mathematics &amp; Natural Sciences, Engineering &amp; Technology, Computer Science, Data &amp; AI, Health &amp; Life Sciences</t>
        </is>
      </c>
      <c r="K156" t="inlineStr">
        <is>
          <t>Full</t>
        </is>
      </c>
      <c r="L156" t="inlineStr">
        <is>
          <t>Full Fellowship ($7,740 Stipend for 10 weeks; $774/week)</t>
        </is>
      </c>
      <c r="M156" t="inlineStr">
        <is>
          <t>Nov – Feb 22 (Annual deadline; requires contacting a Caltech/JPL mentor in Dec–Jan to co-write a research proposal)</t>
        </is>
      </c>
      <c r="N156" t="inlineStr">
        <is>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is>
      </c>
      <c r="O156" t="inlineStr">
        <is>
          <t>Very High: Prior Confirmation from a Caltech/JPL Faculty Mentor + Jointly Co-Authored Technical Research Proposal + Online Application + Transcripts + 2 Confidential Reference Letters</t>
        </is>
      </c>
      <c r="P156" t="inlineStr">
        <is>
          <t>Self-Driven Physics, Chemistry, Engineering, Astronomy &amp; Biology Undergraduates Capable of Writing a Full Research Proposal</t>
        </is>
      </c>
      <c r="Q156" t="inlineStr">
        <is>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is>
      </c>
      <c r="R156" t="inlineStr">
        <is>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is>
      </c>
      <c r="S156" t="inlineStr">
        <is>
          <t>Step 1: Cold-Email &amp; Secure a Caltech Faculty Mentor (Nov–Jan) → Step 2: Co-Write &amp; Submit Formal SURF Research Proposal (Feb 22) → Step 3: Faculty Review &amp; Award Notification on April 1.</t>
        </is>
      </c>
      <c r="T156" t="inlineStr">
        <is>
          <t>Proactive 2nd- and 3rd-year undergraduates who reach out to a Caltech professor in November or December after reading their recent papers, hold a Zoom discussion, and draft a publication-grade 10-week research proposal before February.</t>
        </is>
      </c>
      <c r="V156" t="inlineStr">
        <is>
          <t>https://sfp.caltech.edu/undergraduate-research/programs/surf</t>
        </is>
      </c>
      <c r="Z156" t="inlineStr">
        <is>
          <t>STEM, Research</t>
        </is>
      </c>
      <c r="AA156" s="5" t="n">
        <v>46313</v>
      </c>
      <c r="AB156" s="5" t="n">
        <v>46313</v>
      </c>
      <c r="AC156">
        <f>IF(AND(E156&lt;&gt;"",COUNTIF($E$2:$E$800,E156)&gt;1),"DUPLICATE","")</f>
        <v/>
      </c>
    </row>
    <row r="157">
      <c r="A157" t="inlineStr">
        <is>
          <t>rips-ucla-research-in-industrial-projects-for-students-usa</t>
        </is>
      </c>
      <c r="B157" t="inlineStr">
        <is>
          <t>Open</t>
        </is>
      </c>
      <c r="D157" t="inlineStr">
        <is>
          <t>Internship</t>
        </is>
      </c>
      <c r="E157" t="inlineStr">
        <is>
          <t>RIPS — Research in Industrial Projects for Students (UCLA IPAM)</t>
        </is>
      </c>
      <c r="F157" t="inlineStr">
        <is>
          <t>Institute for Pure and Applied Mathematics (IPAM), UCLA — Los Angeles, California</t>
        </is>
      </c>
      <c r="G157" t="inlineStr">
        <is>
          <t>North America</t>
        </is>
      </c>
      <c r="H157" t="inlineStr">
        <is>
          <t>United States</t>
        </is>
      </c>
      <c r="I157" t="inlineStr">
        <is>
          <t>Bachelor</t>
        </is>
      </c>
      <c r="J157" t="inlineStr">
        <is>
          <t>Mathematics &amp; Natural Sciences, Computer Science, Data &amp; AI, Engineering &amp; Technology</t>
        </is>
      </c>
      <c r="K157" t="inlineStr">
        <is>
          <t>Full</t>
        </is>
      </c>
      <c r="L157" t="inlineStr">
        <is>
          <t>Full Fellowship ($4,000 Stipend for 9 weeks + Free On-Campus Housing &amp; Meals at UCLA + Round-Trip Travel Allowance)</t>
        </is>
      </c>
      <c r="M157" t="inlineStr">
        <is>
          <t>Nov – Feb 12 (Annual cycle for 9-week June–August program at UCLA)</t>
        </is>
      </c>
      <c r="N157" t="inlineStr">
        <is>
          <t>Open to international and US undergraduate students (including graduating seniors completing their Bachelor’s in Spring/Summer of the program year) majoring in Mathematics, Applied Math, Statistics, Data Science, Computer Science, Physics, or Quantitative Engineering.</t>
        </is>
      </c>
      <c r="O157" t="inlineStr">
        <is>
          <t>Very High: MathPrograms.org Application + Personal Statement + CV + Academic Transcripts + 2 Reference Letters</t>
        </is>
      </c>
      <c r="P157" t="inlineStr">
        <is>
          <t>Applied Mathematics, Data Science, Operations Research, Machine Learning &amp; Physics Undergraduates</t>
        </is>
      </c>
      <c r="Q157" t="inlineStr">
        <is>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is>
      </c>
      <c r="R157" t="inlineStr">
        <is>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is>
      </c>
      <c r="S157" t="inlineStr">
        <is>
          <t>Holistic Review of Mathematical Depth, Coding Skills &amp; Teamwork Potential by IPAM Directors → Team &amp; Sponsor Project Matching → Fellowship Offer in March.</t>
        </is>
      </c>
      <c r="T157" t="inlineStr">
        <is>
          <t>Quantitative undergraduates who combine strong proof-based and applied mathematics (linear algebra, numerical analysis, probability) with strong Python/C++ coding and enjoy collaborative team problem-solving.</t>
        </is>
      </c>
      <c r="V157" t="inlineStr">
        <is>
          <t>https://www.ipam.ucla.edu/programs/student-research-programs/research-in-industrial-projects-for-students-rips/</t>
        </is>
      </c>
      <c r="Z157" t="inlineStr">
        <is>
          <t>STEM, Research, Work experience</t>
        </is>
      </c>
      <c r="AA157" s="5" t="n">
        <v>46313</v>
      </c>
      <c r="AB157" s="5" t="n">
        <v>46313</v>
      </c>
      <c r="AC157">
        <f>IF(AND(E157&lt;&gt;"",COUNTIF($E$2:$E$800,E157)&gt;1),"DUPLICATE","")</f>
        <v/>
      </c>
    </row>
    <row r="158">
      <c r="A158" t="inlineStr">
        <is>
          <t>cmu-riss-robotics-institute-summer-scholars-usa</t>
        </is>
      </c>
      <c r="B158" t="inlineStr">
        <is>
          <t>Open</t>
        </is>
      </c>
      <c r="D158" t="inlineStr">
        <is>
          <t>Internship</t>
        </is>
      </c>
      <c r="E158" t="inlineStr">
        <is>
          <t>Carnegie Mellon Robotics Institute Summer Scholars (RISS)</t>
        </is>
      </c>
      <c r="F158" t="inlineStr">
        <is>
          <t>Carnegie Mellon University (CMU) — Robotics Institute, School of Computer Science (Pittsburgh)</t>
        </is>
      </c>
      <c r="G158" t="inlineStr">
        <is>
          <t>North America</t>
        </is>
      </c>
      <c r="H158" t="inlineStr">
        <is>
          <t>United States</t>
        </is>
      </c>
      <c r="I158" t="inlineStr">
        <is>
          <t>Bachelor</t>
        </is>
      </c>
      <c r="J158" t="inlineStr">
        <is>
          <t>Computer Science, Data &amp; AI, Engineering &amp; Technology, Mathematics &amp; Natural Sciences</t>
        </is>
      </c>
      <c r="K158" t="inlineStr">
        <is>
          <t>Full</t>
        </is>
      </c>
      <c r="L158" t="inlineStr">
        <is>
          <t>Full Fellowship Stipend &amp; Travel/Housing Support (Varies by sponsor track; typically $4,500–$6,000+ Stipend for 11 weeks at CMU in Pittsburgh)</t>
        </is>
      </c>
      <c r="M158" t="inlineStr">
        <is>
          <t>Nov 1 – Jan 15 (Annual cycle for 11-week June–August intensive robotics research residency)</t>
        </is>
      </c>
      <c r="N158" t="inlineStr">
        <is>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is>
      </c>
      <c r="O158" t="inlineStr">
        <is>
          <t>Very High: Online CMU RISS Portal Application + 2-Page Statement of Purpose + Lab/Mentor Preferences + Resume + Transcripts + 2 Reference Letters</t>
        </is>
      </c>
      <c r="P158" t="inlineStr">
        <is>
          <t>Top Undergraduate Robotics, Computer Vision, Autonomous Systems &amp; AI Researchers</t>
        </is>
      </c>
      <c r="Q158" t="inlineStr">
        <is>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is>
      </c>
      <c r="R158" t="inlineStr">
        <is>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is>
      </c>
      <c r="S158" t="inlineStr">
        <is>
          <t>Initial Screening of Technical Portfolio &amp; GPA → Direct Selection &amp; Video Interviews by CMU Robotics Institute Faculty &amp; Lab Leads (Feb–Mar) → Final Placement.</t>
        </is>
      </c>
      <c r="T158" t="inlineStr">
        <is>
          <t>Undergraduates who already have hands-on robotics experience (ROS2, C++, PyTorch, SLAM, computer vision, mechatronics, or control theory) and include a clean GitHub or video portfolio link on their resume.</t>
        </is>
      </c>
      <c r="V158" t="inlineStr">
        <is>
          <t>https://riss.ri.cmu.edu/</t>
        </is>
      </c>
      <c r="Z158" t="inlineStr">
        <is>
          <t>STEM, Research</t>
        </is>
      </c>
      <c r="AA158" s="5" t="n">
        <v>46313</v>
      </c>
      <c r="AB158" s="5" t="n">
        <v>46313</v>
      </c>
      <c r="AC158">
        <f>IF(AND(E158&lt;&gt;"",COUNTIF($E$2:$E$800,E158)&gt;1),"DUPLICATE","")</f>
        <v/>
      </c>
    </row>
    <row r="159">
      <c r="A159" t="inlineStr">
        <is>
          <t>stsci-sasp-space-astronomy-summer-program-baltimore-usa</t>
        </is>
      </c>
      <c r="B159" t="inlineStr">
        <is>
          <t>Open</t>
        </is>
      </c>
      <c r="D159" t="inlineStr">
        <is>
          <t>Internship</t>
        </is>
      </c>
      <c r="E159" t="inlineStr">
        <is>
          <t>STScI Space Astronomy Summer Program (SASP)</t>
        </is>
      </c>
      <c r="F159" t="inlineStr">
        <is>
          <t>Space Telescope Science Institute (STScI) — Baltimore, Maryland (Operated by AURA for NASA)</t>
        </is>
      </c>
      <c r="G159" t="inlineStr">
        <is>
          <t>North America</t>
        </is>
      </c>
      <c r="H159" t="inlineStr">
        <is>
          <t>United States</t>
        </is>
      </c>
      <c r="I159" t="inlineStr">
        <is>
          <t>Bachelor</t>
        </is>
      </c>
      <c r="J159" t="inlineStr">
        <is>
          <t>Mathematics &amp; Natural Sciences, Computer Science, Data &amp; AI, Engineering &amp; Technology</t>
        </is>
      </c>
      <c r="K159" t="inlineStr">
        <is>
          <t>Full</t>
        </is>
      </c>
      <c r="L159" t="inlineStr">
        <is>
          <t>Full Stipend (~$820/week for 10 weeks = ~$8,200 Total + Travel Reimbursement to/from Baltimore + Optional Subsidized Housing at Johns Hopkins University)</t>
        </is>
      </c>
      <c r="M159" t="inlineStr">
        <is>
          <t>Dec – Jan 31 (Annual cycle for 10-week June–August research internship)</t>
        </is>
      </c>
      <c r="N159" t="inlineStr">
        <is>
          <t>Open to upper-division undergraduate students of all nationalities worldwide (international students are fully eligible and sponsored for visas) with a strong interest in Space Astronomy, Astrophysics, Planetary Science, Scientific Software Engineering, or Public Outreach.</t>
        </is>
      </c>
      <c r="O159" t="inlineStr">
        <is>
          <t>Very High: Online STScI Application + Personal Essays on Research Interests + CV + University Transcripts + 2 Reference Letters</t>
        </is>
      </c>
      <c r="P159" t="inlineStr">
        <is>
          <t>Astronomy, Astrophysics, Physics &amp; Scientific Computing Undergraduates Worldwide</t>
        </is>
      </c>
      <c r="Q159" t="inlineStr">
        <is>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is>
      </c>
      <c r="R159" t="inlineStr">
        <is>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is>
      </c>
      <c r="S159" t="inlineStr">
        <is>
          <t>Evaluation by STScI Astronomer Selection Committee → Direct Matching with Proposed JWST/HST Summer Projects (Feb–Mar) → Offer Letters by Mid-March.</t>
        </is>
      </c>
      <c r="T159" t="inlineStr">
        <is>
          <t>Upper-level physics and astronomy students (regardless of citizenship) who have solid Python scientific computing skills and a genuine passion for space telescope data analysis.</t>
        </is>
      </c>
      <c r="V159" t="inlineStr">
        <is>
          <t>https://www.stsci.edu/opportunities/space-astronomy-summer-program</t>
        </is>
      </c>
      <c r="Z159" t="inlineStr">
        <is>
          <t>STEM, Research</t>
        </is>
      </c>
      <c r="AA159" s="5" t="n">
        <v>46313</v>
      </c>
      <c r="AB159" s="5" t="n">
        <v>46313</v>
      </c>
      <c r="AC159">
        <f>IF(AND(E159&lt;&gt;"",COUNTIF($E$2:$E$800,E159)&gt;1),"DUPLICATE","")</f>
        <v/>
      </c>
    </row>
    <row r="160">
      <c r="A160" t="inlineStr">
        <is>
          <t>lpi-summer-intern-program-in-planetary-science-houston-usa</t>
        </is>
      </c>
      <c r="B160" t="inlineStr">
        <is>
          <t>Open</t>
        </is>
      </c>
      <c r="D160" t="inlineStr">
        <is>
          <t>Internship</t>
        </is>
      </c>
      <c r="E160" t="inlineStr">
        <is>
          <t>LPI Summer Intern Program in Planetary Science</t>
        </is>
      </c>
      <c r="F160" t="inlineStr">
        <is>
          <t>Lunar and Planetary Institute (LPI / USRA) &amp; NASA Johnson Space Center — Houston, Texas</t>
        </is>
      </c>
      <c r="G160" t="inlineStr">
        <is>
          <t>North America</t>
        </is>
      </c>
      <c r="H160" t="inlineStr">
        <is>
          <t>United States</t>
        </is>
      </c>
      <c r="I160" t="inlineStr">
        <is>
          <t>Bachelor</t>
        </is>
      </c>
      <c r="J160" t="inlineStr">
        <is>
          <t>Mathematics &amp; Natural Sciences, Engineering &amp; Technology, Computer Science, Data &amp; AI</t>
        </is>
      </c>
      <c r="K160" t="inlineStr">
        <is>
          <t>Full</t>
        </is>
      </c>
      <c r="L160" t="inlineStr">
        <is>
          <t>Full Fellowship ($8,056 Stipend for 10 weeks + Up to $1,500 International Travel Reimbursement + $1,000 Conference Travel Grant to attend Lunar and Planetary Science Conference)</t>
        </is>
      </c>
      <c r="M160" t="inlineStr">
        <is>
          <t>Oct – Dec 12 (Annual early-December deadline for 10-week June–August placement in Houston)</t>
        </is>
      </c>
      <c r="N160" t="inlineStr">
        <is>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is>
      </c>
      <c r="O160" t="inlineStr">
        <is>
          <t>Very High: Online LPI Application + Short Essay Responses + Selection of Preferred Planetary Science Topics + Official Transcripts + 2–3 Reference Letters</t>
        </is>
      </c>
      <c r="P160" t="inlineStr">
        <is>
          <t>Geology, Earth Science, Physics, Chemistry &amp; Astrobiology Undergraduates Interested in NASA Planetary Missions</t>
        </is>
      </c>
      <c r="Q160" t="inlineStr">
        <is>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is>
      </c>
      <c r="R160" t="inlineStr">
        <is>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is>
      </c>
      <c r="S160" t="inlineStr">
        <is>
          <t>Independent Scoring of Academic Record &amp; Essays → Matching by LPI &amp; NASA JSC Planetary Scientists based on Specific Project Needs (Jan–Feb) → Notification in March.</t>
        </is>
      </c>
      <c r="T160" t="inlineStr">
        <is>
          <t>Geology, chemistry, physics, and materials science undergraduates who highlight analytical instrumentation (SEM, XRD, Raman, isotope geochemistry) or numerical modeling skills applicable to planetary materials.</t>
        </is>
      </c>
      <c r="V160" t="inlineStr">
        <is>
          <t>https://www.lpi.usra.edu/lpiintern/</t>
        </is>
      </c>
      <c r="Z160" t="inlineStr">
        <is>
          <t>STEM, Research</t>
        </is>
      </c>
      <c r="AA160" s="5" t="n">
        <v>46313</v>
      </c>
      <c r="AB160" s="5" t="n">
        <v>46313</v>
      </c>
      <c r="AC160">
        <f>IF(AND(E160&lt;&gt;"",COUNTIF($E$2:$E$800,E160)&gt;1),"DUPLICATE","")</f>
        <v/>
      </c>
    </row>
    <row r="161">
      <c r="A161" t="inlineStr">
        <is>
          <t>whoi-summer-student-fellowship-woods-hole-usa</t>
        </is>
      </c>
      <c r="B161" t="inlineStr">
        <is>
          <t>Open</t>
        </is>
      </c>
      <c r="D161" t="inlineStr">
        <is>
          <t>Internship</t>
        </is>
      </c>
      <c r="E161" t="inlineStr">
        <is>
          <t>Woods Hole Oceanographic Institution (WHOI) Summer Student Fellowship</t>
        </is>
      </c>
      <c r="F161" t="inlineStr">
        <is>
          <t>Woods Hole Oceanographic Institution (WHOI) — Woods Hole, Massachusetts</t>
        </is>
      </c>
      <c r="G161" t="inlineStr">
        <is>
          <t>North America</t>
        </is>
      </c>
      <c r="H161" t="inlineStr">
        <is>
          <t>United States</t>
        </is>
      </c>
      <c r="I161" t="inlineStr">
        <is>
          <t>Bachelor</t>
        </is>
      </c>
      <c r="J161" t="inlineStr">
        <is>
          <t>Environment, Water &amp; Energy, Mathematics &amp; Natural Sciences, Engineering &amp; Technology, Computer Science, Data &amp; AI, Health &amp; Life Sciences</t>
        </is>
      </c>
      <c r="K161" t="inlineStr">
        <is>
          <t>Full</t>
        </is>
      </c>
      <c r="L161" t="inlineStr">
        <is>
          <t>Full Fellowship ($690/week Stipend for 10–12 weeks = ~$6,900–$8,280 + Free Institution Housing in Woods Hole + Round-Trip Travel Allowance + Research Cruise Opportunity)</t>
        </is>
      </c>
      <c r="M161" t="inlineStr">
        <is>
          <t>Nov – Feb 5 (Annual cycle for 10-to-12-week June–August fellowship)</t>
        </is>
      </c>
      <c r="N161" t="inlineStr">
        <is>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is>
      </c>
      <c r="O161" t="inlineStr">
        <is>
          <t>Very High: Online WHOI Application + Personal Statement + Research Topic &amp; Advisor Preferences + CV + Official Transcripts + 2 Reference Letters</t>
        </is>
      </c>
      <c r="P161" t="inlineStr">
        <is>
          <t>3rd-Year STEM &amp; Environmental Science Undergraduates Interested in Ocean Science, Climate &amp; Marine Robotics</t>
        </is>
      </c>
      <c r="Q161" t="inlineStr">
        <is>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is>
      </c>
      <c r="R161" t="inlineStr">
        <is>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is>
      </c>
      <c r="S161" t="inlineStr">
        <is>
          <t>Departmental Review by WHOI Scientists → Direct Matching between Finalists and Hosting WHOI Principal Investigators (Feb–Mar) → Fellowship Award by Mid-March.</t>
        </is>
      </c>
      <c r="T161" t="inlineStr">
        <is>
          <t>3rd-year chemistry, physics, mechanical/electrical engineering, or biology majors (even with zero prior oceanography coursework!) who show how their fundamental STEM skills apply to marine chemistry, ocean robotics, or climate dynamics.</t>
        </is>
      </c>
      <c r="V161" t="inlineStr">
        <is>
          <t>https://www.whoi.edu/what-we-do/educate/undergraduate-programs/summer-student-fellowship/</t>
        </is>
      </c>
      <c r="Z161" t="inlineStr">
        <is>
          <t>STEM, Research</t>
        </is>
      </c>
      <c r="AA161" s="5" t="n">
        <v>46313</v>
      </c>
      <c r="AB161" s="5" t="n">
        <v>46313</v>
      </c>
      <c r="AC161">
        <f>IF(AND(E161&lt;&gt;"",COUNTIF($E$2:$E$800,E161)&gt;1),"DUPLICATE","")</f>
        <v/>
      </c>
    </row>
    <row r="162">
      <c r="A162" t="inlineStr">
        <is>
          <t>santa-fe-institute-ugr-undergraduate-complexity-research-usa</t>
        </is>
      </c>
      <c r="B162" t="inlineStr">
        <is>
          <t>Open</t>
        </is>
      </c>
      <c r="D162" t="inlineStr">
        <is>
          <t>Internship</t>
        </is>
      </c>
      <c r="E162" t="inlineStr">
        <is>
          <t>Santa Fe Institute (SFI) Undergraduate Complexity Research (UCR)</t>
        </is>
      </c>
      <c r="F162" t="inlineStr">
        <is>
          <t>Santa Fe Institute (SFI) — Santa Fe, New Mexico</t>
        </is>
      </c>
      <c r="G162" t="inlineStr">
        <is>
          <t>North America</t>
        </is>
      </c>
      <c r="H162" t="inlineStr">
        <is>
          <t>United States</t>
        </is>
      </c>
      <c r="I162" t="inlineStr">
        <is>
          <t>Bachelor</t>
        </is>
      </c>
      <c r="J162" t="inlineStr">
        <is>
          <t>Mathematics &amp; Natural Sciences, Computer Science, Data &amp; AI, Social Sciences &amp; Humanities, Health &amp; Life Sciences, Business, Economics &amp; Management</t>
        </is>
      </c>
      <c r="K162" t="inlineStr">
        <is>
          <t>Full</t>
        </is>
      </c>
      <c r="L162" t="inlineStr">
        <is>
          <t>Full Fellowship ($7,000 Stipend for 10 weeks + Free Room &amp; Board at St. John’s College in Santa Fe + Full Round-Trip Travel Reimbursement + J-1 Visa Sponsorship)</t>
        </is>
      </c>
      <c r="M162" t="inlineStr">
        <is>
          <t>Oct – Jan 11 (Annual early-January deadline for 10-week June–August residential program)</t>
        </is>
      </c>
      <c r="N162" t="inlineStr">
        <is>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is>
      </c>
      <c r="O162" t="inlineStr">
        <is>
          <t>Very High: Online SFI Application + Research Statement &amp; Project Ideas + Biographical Essay + CV + Official Transcripts + 2 Reference Letters</t>
        </is>
      </c>
      <c r="P162" t="inlineStr">
        <is>
          <t>Quantitative &amp; Interdisciplinary Thinkers Interested in Complex Systems, Networks, AI, Evolution &amp; Econophysics</t>
        </is>
      </c>
      <c r="Q162" t="inlineStr">
        <is>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is>
      </c>
      <c r="R162" t="inlineStr">
        <is>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is>
      </c>
      <c r="S162" t="inlineStr">
        <is>
          <t>Holistic Review by SFI Faculty Committee → Shortlisted Zoom Interviews Exploring Mathematical &amp; Scientific Thinking (February) → Final Selection in March.</t>
        </is>
      </c>
      <c r="T162" t="inlineStr">
        <is>
          <t>Intellectually bold undergraduates in physics, applied math, CS, or theoretical biology/economics who write a genuinely original essay on emergent phenomena or network dynamics rather than a standard lab summary.</t>
        </is>
      </c>
      <c r="V162" t="inlineStr">
        <is>
          <t>https://www.santafe.edu/engage/learn/programs/undergraduate-complexity-research</t>
        </is>
      </c>
      <c r="Z162" t="inlineStr">
        <is>
          <t>STEM, Research</t>
        </is>
      </c>
      <c r="AA162" s="5" t="n">
        <v>46313</v>
      </c>
      <c r="AB162" s="5" t="n">
        <v>46313</v>
      </c>
      <c r="AC162">
        <f>IF(AND(E162&lt;&gt;"",COUNTIF($E$2:$E$800,E162)&gt;1),"DUPLICATE","")</f>
        <v/>
      </c>
    </row>
    <row r="163">
      <c r="A163" t="inlineStr">
        <is>
          <t>hhmi-janelia-undergraduate-scholars-program-usa</t>
        </is>
      </c>
      <c r="B163" t="inlineStr">
        <is>
          <t>Open</t>
        </is>
      </c>
      <c r="D163" t="inlineStr">
        <is>
          <t>Internship</t>
        </is>
      </c>
      <c r="E163" t="inlineStr">
        <is>
          <t>Janelia Undergraduate Scholars Program (HHMI Janelia Research Campus)</t>
        </is>
      </c>
      <c r="F163" t="inlineStr">
        <is>
          <t>Howard Hughes Medical Institute (HHMI) — Janelia Research Campus (Ashburn, Virginia)</t>
        </is>
      </c>
      <c r="G163" t="inlineStr">
        <is>
          <t>North America</t>
        </is>
      </c>
      <c r="H163" t="inlineStr">
        <is>
          <t>United States</t>
        </is>
      </c>
      <c r="I163" t="inlineStr">
        <is>
          <t>Bachelor, Master</t>
        </is>
      </c>
      <c r="J163" t="inlineStr">
        <is>
          <t>Health &amp; Life Sciences, Computer Science, Data &amp; AI, Engineering &amp; Technology, Mathematics &amp; Natural Sciences</t>
        </is>
      </c>
      <c r="K163" t="inlineStr">
        <is>
          <t>Full</t>
        </is>
      </c>
      <c r="L163" t="inlineStr">
        <is>
          <t>Full Ride ($6,000 Stipend for 10 weeks + Free On-Campus Apartment Housing &amp; All Meals Covered + Full Round-Trip Travel Reimbursement)</t>
        </is>
      </c>
      <c r="M163" t="inlineStr">
        <is>
          <t>Oct – Jan 7 (Annual early-January deadline for 10-week June–August residential research)</t>
        </is>
      </c>
      <c r="N163" t="inlineStr">
        <is>
          <t>Open to all nationalities worldwide; enrolled in an undergraduate (or terminal Master’s) program and not yet accepted into a PhD program; strong background in Biology, Neuroscience, Biophysics, Optical Engineering, Chemistry, Computer Science, Applied Mathematics, or Machine Learning.</t>
        </is>
      </c>
      <c r="O163" t="inlineStr">
        <is>
          <t>Very High: Online Janelia Application + Selection of up to 3 Janelia Labs + Specific Proposed Research Project Essay + Previous Research Summary + Transcripts + 2 Reference Letters</t>
        </is>
      </c>
      <c r="P163" t="inlineStr">
        <is>
          <t>Top Neuroscience, Optical Physics, Chemical Biology, Biophysics &amp; Computational Biology Students</t>
        </is>
      </c>
      <c r="Q163" t="inlineStr">
        <is>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is>
      </c>
      <c r="R163" t="inlineStr">
        <is>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is>
      </c>
      <c r="S163" t="inlineStr">
        <is>
          <t>Initial Screening of Prior Research Depth &amp; Proposed Project Essay → Direct Evaluation &amp; Video Interview by Target Janelia Group Leaders (February) → Final Offers by March.</t>
        </is>
      </c>
      <c r="T163" t="inlineStr">
        <is>
          <t>Students with prior independent lab or computational research experience who read their target Janelia Group Leader’s recent papers and write a concrete, thoughtful 10-week experimental or modeling proposal.</t>
        </is>
      </c>
      <c r="V163" t="inlineStr">
        <is>
          <t>https://www.janelia.org/you-janelia/students-postdocs/undergraduate-scholars-program</t>
        </is>
      </c>
      <c r="Z163" t="inlineStr">
        <is>
          <t>STEM, Research</t>
        </is>
      </c>
      <c r="AA163" s="5" t="n">
        <v>46313</v>
      </c>
      <c r="AB163" s="5" t="n">
        <v>46313</v>
      </c>
      <c r="AC163">
        <f>IF(AND(E163&lt;&gt;"",COUNTIF($E$2:$E$800,E163)&gt;1),"DUPLICATE","")</f>
        <v/>
      </c>
    </row>
    <row r="164">
      <c r="A164" t="inlineStr">
        <is>
          <t>cshl-urp-cold-spring-harbor-laboratory-undergraduate-research-usa</t>
        </is>
      </c>
      <c r="B164" t="inlineStr">
        <is>
          <t>Open</t>
        </is>
      </c>
      <c r="D164" t="inlineStr">
        <is>
          <t>Internship</t>
        </is>
      </c>
      <c r="E164" t="inlineStr">
        <is>
          <t>Cold Spring Harbor Laboratory (CSHL) Undergraduate Research Program (URP)</t>
        </is>
      </c>
      <c r="F164" t="inlineStr">
        <is>
          <t>Cold Spring Harbor Laboratory (CSHL) — Cold Spring Harbor, New York</t>
        </is>
      </c>
      <c r="G164" t="inlineStr">
        <is>
          <t>North America</t>
        </is>
      </c>
      <c r="H164" t="inlineStr">
        <is>
          <t>United States</t>
        </is>
      </c>
      <c r="I164" t="inlineStr">
        <is>
          <t>Bachelor</t>
        </is>
      </c>
      <c r="J164" t="inlineStr">
        <is>
          <t>Health &amp; Life Sciences, Computer Science, Data &amp; AI, Mathematics &amp; Natural Sciences</t>
        </is>
      </c>
      <c r="K164" t="inlineStr">
        <is>
          <t>Full</t>
        </is>
      </c>
      <c r="L164" t="inlineStr">
        <is>
          <t>Full Ride ($6,000 Stipend for 10 weeks + Free Room and Board on CSHL’s Long Island Campus + Travel Support)</t>
        </is>
      </c>
      <c r="M164" t="inlineStr">
        <is>
          <t>Nov – Jan 15 (Annual cycle for 10-week June–August residential program)</t>
        </is>
      </c>
      <c r="N164" t="inlineStr">
        <is>
          <t>Open to undergraduate students of all nationalities worldwide currently in their sophomore or junior year (returning to undergraduate study in Fall) majoring in Biology, Genetics, Neuroscience, Cancer Biology, Plant Biology, Chemistry, Physics, Computer Science, or Bioinformatics.</t>
        </is>
      </c>
      <c r="O164" t="inlineStr">
        <is>
          <t>Very High: Online CSHL URP Application + Personal Statement + Research Area Preferences + Official Transcripts + 2 Reference Letters</t>
        </is>
      </c>
      <c r="P164" t="inlineStr">
        <is>
          <t>Rising Junior &amp; Senior Undergraduates Targeting Molecular Biology, Cancer, Neuroscience &amp; Quantitative Biology</t>
        </is>
      </c>
      <c r="Q164" t="inlineStr">
        <is>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is>
      </c>
      <c r="R164" t="inlineStr">
        <is>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is>
      </c>
      <c r="S164" t="inlineStr">
        <is>
          <t>Review by CSHL URP Faculty Committee → Lab Matching with CSHL Principal Investigators (Feb–Mar) → Notification by Mid-March.</t>
        </is>
      </c>
      <c r="T164" t="inlineStr">
        <is>
          <t>Sophomores and juniors with hands-on wet-lab or bioinformatics research experience who convey deep intellectual curiosity for molecular mechanisms and experimental design.</t>
        </is>
      </c>
      <c r="V164" t="inlineStr">
        <is>
          <t>https://www.cshl.edu/education/undergraduate-research-program/</t>
        </is>
      </c>
      <c r="Z164" t="inlineStr">
        <is>
          <t>STEM, Research</t>
        </is>
      </c>
      <c r="AA164" s="5" t="n">
        <v>46313</v>
      </c>
      <c r="AB164" s="5" t="n">
        <v>46313</v>
      </c>
      <c r="AC164">
        <f>IF(AND(E164&lt;&gt;"",COUNTIF($E$2:$E$800,E164)&gt;1),"DUPLICATE","")</f>
        <v/>
      </c>
    </row>
    <row r="165">
      <c r="A165" t="inlineStr">
        <is>
          <t>perimeter-institute-undergraduate-summer-program-canada</t>
        </is>
      </c>
      <c r="B165" t="inlineStr">
        <is>
          <t>Open</t>
        </is>
      </c>
      <c r="D165" t="inlineStr">
        <is>
          <t>Internship</t>
        </is>
      </c>
      <c r="E165" t="inlineStr">
        <is>
          <t>Perimeter Institute Undergraduate Theoretical Physics Summer Program</t>
        </is>
      </c>
      <c r="F165" t="inlineStr">
        <is>
          <t>Perimeter Institute for Theoretical Physics — Waterloo, Ontario</t>
        </is>
      </c>
      <c r="G165" t="inlineStr">
        <is>
          <t>North America</t>
        </is>
      </c>
      <c r="H165" t="inlineStr">
        <is>
          <t>Canada</t>
        </is>
      </c>
      <c r="I165" t="inlineStr">
        <is>
          <t>Bachelor</t>
        </is>
      </c>
      <c r="J165" t="inlineStr">
        <is>
          <t>Mathematics &amp; Natural Sciences, Computer Science, Data &amp; AI</t>
        </is>
      </c>
      <c r="K165" t="inlineStr">
        <is>
          <t>Full</t>
        </is>
      </c>
      <c r="L165" t="inlineStr">
        <is>
          <t>Full Fellowship (Paid Research Award Stipend + Per-Diem Meal Allowance + Free Accommodation + Economy Round-Trip Travel to Waterloo)</t>
        </is>
      </c>
      <c r="M165" t="inlineStr">
        <is>
          <t>Nov – Jan 13 (Annual early-January deadline for 2-week May school + paid summer research fellowship)</t>
        </is>
      </c>
      <c r="N165" t="inlineStr">
        <is>
          <t>Open to all nationalities worldwide; undergraduate students entering the final year of their Bachelor’s program (or entering Master’s / Perimeter Scholars International track) in Physics, Theoretical Physics, Mathematics, or Quantum Information with an exceptional academic record.</t>
        </is>
      </c>
      <c r="O165" t="inlineStr">
        <is>
          <t>Very High: Online Perimeter Application + Statement of Purpose + CV + List of Advanced Physics/Math Courses + Official Transcripts + 2 Reference Letters</t>
        </is>
      </c>
      <c r="P165" t="inlineStr">
        <is>
          <t>Top-Tier Theoretical Physics, Quantum Information, Cosmology &amp; Mathematical Physics Undergraduates</t>
        </is>
      </c>
      <c r="Q165" t="inlineStr">
        <is>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is>
      </c>
      <c r="R165" t="inlineStr">
        <is>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is>
      </c>
      <c r="S165" t="inlineStr">
        <is>
          <t>Rigorous Evaluation by Perimeter Faculty of Mathematical &amp; Theoretical Physics Maturity → Matching with Summer Research Mentors (Feb–Mar) → Fellowship Award.</t>
        </is>
      </c>
      <c r="T165" t="inlineStr">
        <is>
          <t>Students with near-perfect grades in quantum mechanics, statistical mechanics, and differential geometry/linear algebra who demonstrate maturity with graduate-level physics textbooks.</t>
        </is>
      </c>
      <c r="V165" t="inlineStr">
        <is>
          <t>https://perimeterinstitute.ca/undergraduate-theoretical-physics-summer-program</t>
        </is>
      </c>
      <c r="Z165" t="inlineStr">
        <is>
          <t>STEM, Research</t>
        </is>
      </c>
      <c r="AA165" s="5" t="n">
        <v>46313</v>
      </c>
      <c r="AB165" s="5" t="n">
        <v>46313</v>
      </c>
      <c r="AC165">
        <f>IF(AND(E165&lt;&gt;"",COUNTIF($E$2:$E$800,E165)&gt;1),"DUPLICATE","")</f>
        <v/>
      </c>
    </row>
    <row r="166">
      <c r="A166" t="inlineStr">
        <is>
          <t>fields-institute-fusrp-undergraduate-summer-research-canada</t>
        </is>
      </c>
      <c r="B166" t="inlineStr">
        <is>
          <t>Open</t>
        </is>
      </c>
      <c r="D166" t="inlineStr">
        <is>
          <t>Internship</t>
        </is>
      </c>
      <c r="E166" t="inlineStr">
        <is>
          <t>Fields Institute Undergraduate Summer Research Program (FUSRP)</t>
        </is>
      </c>
      <c r="F166" t="inlineStr">
        <is>
          <t>The Fields Institute for Research in Mathematical Sciences — Toronto, Ontario</t>
        </is>
      </c>
      <c r="G166" t="inlineStr">
        <is>
          <t>North America</t>
        </is>
      </c>
      <c r="H166" t="inlineStr">
        <is>
          <t>Canada</t>
        </is>
      </c>
      <c r="I166" t="inlineStr">
        <is>
          <t>Bachelor</t>
        </is>
      </c>
      <c r="J166" t="inlineStr">
        <is>
          <t>Mathematics &amp; Natural Sciences, Computer Science, Data &amp; AI</t>
        </is>
      </c>
      <c r="K166" t="inlineStr">
        <is>
          <t>Full</t>
        </is>
      </c>
      <c r="L166" t="inlineStr">
        <is>
          <t>Full Fellowship (Full Accommodation in Downtown Toronto + Meal &amp; Living Allowance + Travel Support for 9 weeks in July–August)</t>
        </is>
      </c>
      <c r="M166" t="inlineStr">
        <is>
          <t>Nov – Jan 25 (Annual cycle for 9-week July–August collaborative mathematics research)</t>
        </is>
      </c>
      <c r="N166" t="inlineStr">
        <is>
          <t>Open to high-performing undergraduate mathematics students worldwide (typically completing 2nd or 3rd year of a Bachelor’s degree in Pure Math, Applied Math, Statistics, or Theoretical Computer Science).</t>
        </is>
      </c>
      <c r="O166" t="inlineStr">
        <is>
          <t>Very High: MathPrograms.org Application + Ranking of Specific FUSRP Projects + Cover Letter + CV + Transcripts + 2 Reference Letters</t>
        </is>
      </c>
      <c r="P166" t="inlineStr">
        <is>
          <t>Pure &amp; Applied Mathematics Undergraduates Seeking Collaborative Research at the Fields Institute in Toronto</t>
        </is>
      </c>
      <c r="Q166" t="inlineStr">
        <is>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is>
      </c>
      <c r="R166" t="inlineStr">
        <is>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is>
      </c>
      <c r="S166" t="inlineStr">
        <is>
          <t>Project Leader Review of Mathematical Background, Problem-Solving Ability &amp; Reference Letters → Selection Notifications in March.</t>
        </is>
      </c>
      <c r="T166" t="inlineStr">
        <is>
          <t>Undergraduate math majors who examine the exact 5–8 project descriptions posted each winter by Fields faculty leaders and demonstrate mastery of the prerequisite math topics in their cover letter.</t>
        </is>
      </c>
      <c r="V166" t="inlineStr">
        <is>
          <t>http://www.fields.utoronto.ca/activities/fusrp</t>
        </is>
      </c>
      <c r="Z166" t="inlineStr">
        <is>
          <t>STEM, Research</t>
        </is>
      </c>
      <c r="AA166" s="5" t="n">
        <v>46313</v>
      </c>
      <c r="AB166" s="5" t="n">
        <v>46313</v>
      </c>
      <c r="AC166">
        <f>IF(AND(E166&lt;&gt;"",COUNTIF($E$2:$E$800,E166)&gt;1),"DUPLICATE","")</f>
        <v/>
      </c>
    </row>
    <row r="167">
      <c r="A167" t="inlineStr">
        <is>
          <t>weizmann-institute-kupcinet-getz-international-summer-school-israel</t>
        </is>
      </c>
      <c r="B167" t="inlineStr">
        <is>
          <t>Open</t>
        </is>
      </c>
      <c r="D167" t="inlineStr">
        <is>
          <t>Internship</t>
        </is>
      </c>
      <c r="E167" t="inlineStr">
        <is>
          <t>Kupcinet-Getz International Science School (Weizmann Institute)</t>
        </is>
      </c>
      <c r="F167" t="inlineStr">
        <is>
          <t>Weizmann Institute of Science — Rehovot</t>
        </is>
      </c>
      <c r="G167" t="inlineStr">
        <is>
          <t>Middle East</t>
        </is>
      </c>
      <c r="H167" t="inlineStr">
        <is>
          <t>Israel</t>
        </is>
      </c>
      <c r="I167" t="inlineStr">
        <is>
          <t>Bachelor, Master</t>
        </is>
      </c>
      <c r="J167" t="inlineStr">
        <is>
          <t>Mathematics &amp; Natural Sciences, Computer Science, Data &amp; AI, Health &amp; Life Sciences, Engineering &amp; Technology</t>
        </is>
      </c>
      <c r="K167" t="inlineStr">
        <is>
          <t>Full</t>
        </is>
      </c>
      <c r="L167" t="inlineStr">
        <is>
          <t>Full Fellowship (NIS 500/week Stipend ~NIS 4,000 Total + Free On-Campus Housing in Rehovot; No Program Fee)</t>
        </is>
      </c>
      <c r="M167" t="inlineStr">
        <is>
          <t>Oct – Nov 30 (Annual early-winter deadline for 8-week July–August summer research)</t>
        </is>
      </c>
      <c r="N167" t="inlineStr">
        <is>
          <t>Open to all nationalities worldwide; undergraduate (completed at least 2 years of BSc) and Master’s students majoring in Physics, Chemistry, Materials Science, Life Sciences, Mathematics, or Computer Science with a minimum GPA of 3.6/4.0.</t>
        </is>
      </c>
      <c r="O167" t="inlineStr">
        <is>
          <t>Very High: Online Weizmann Portal Form + Statement of Purpose + Selection of up to 3 Weizmann Labs + CV + Official Transcripts + 1–2 Reference Letters</t>
        </is>
      </c>
      <c r="P167" t="inlineStr">
        <is>
          <t>High-GPA Chemistry, Materials Science, Physics, Biology &amp; Computer Science Students</t>
        </is>
      </c>
      <c r="Q167" t="inlineStr">
        <is>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is>
      </c>
      <c r="R167" t="inlineStr">
        <is>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is>
      </c>
      <c r="S167" t="inlineStr">
        <is>
          <t>Academic Screening by the Feinberg Graduate School → Evaluation &amp; Video Interview by Hosting Weizmann Principal</t>
        </is>
      </c>
      <c r="AA167" s="5" t="n"/>
      <c r="AB167" s="5" t="n"/>
      <c r="AC167">
        <f>IF(AND(E167&lt;&gt;"",COUNTIF($E$2:$E$800,E167)&gt;1),"DUPLICATE","")</f>
        <v/>
      </c>
    </row>
    <row r="168">
      <c r="AA168" s="5" t="n"/>
      <c r="AB168" s="5" t="n"/>
      <c r="AC168">
        <f>IF(AND(E168&lt;&gt;"",COUNTIF($E$2:$E$800,E168)&gt;1),"DUPLICATE","")</f>
        <v/>
      </c>
    </row>
    <row r="169">
      <c r="AA169" s="5" t="n"/>
      <c r="AB169" s="5" t="n"/>
      <c r="AC169">
        <f>IF(AND(E169&lt;&gt;"",COUNTIF($E$2:$E$800,E169)&gt;1),"DUPLICATE","")</f>
        <v/>
      </c>
    </row>
    <row r="170">
      <c r="AA170" s="5" t="n"/>
      <c r="AB170" s="5" t="n"/>
      <c r="AC170">
        <f>IF(AND(E170&lt;&gt;"",COUNTIF($E$2:$E$800,E170)&gt;1),"DUPLICATE","")</f>
        <v/>
      </c>
    </row>
    <row r="171">
      <c r="AA171" s="5" t="n"/>
      <c r="AB171" s="5" t="n"/>
      <c r="AC171">
        <f>IF(AND(E171&lt;&gt;"",COUNTIF($E$2:$E$800,E171)&gt;1),"DUPLICATE","")</f>
        <v/>
      </c>
    </row>
    <row r="172">
      <c r="AA172" s="5" t="n"/>
      <c r="AB172" s="5" t="n"/>
      <c r="AC172">
        <f>IF(AND(E172&lt;&gt;"",COUNTIF($E$2:$E$800,E172)&gt;1),"DUPLICATE","")</f>
        <v/>
      </c>
    </row>
    <row r="173">
      <c r="AA173" s="5" t="n"/>
      <c r="AB173" s="5" t="n"/>
      <c r="AC173">
        <f>IF(AND(E173&lt;&gt;"",COUNTIF($E$2:$E$800,E173)&gt;1),"DUPLICATE","")</f>
        <v/>
      </c>
    </row>
    <row r="174">
      <c r="AA174" s="5" t="n"/>
      <c r="AB174" s="5" t="n"/>
      <c r="AC174">
        <f>IF(AND(E174&lt;&gt;"",COUNTIF($E$2:$E$800,E174)&gt;1),"DUPLICATE","")</f>
        <v/>
      </c>
    </row>
    <row r="175">
      <c r="AA175" s="5" t="n"/>
      <c r="AB175" s="5" t="n"/>
      <c r="AC175">
        <f>IF(AND(E175&lt;&gt;"",COUNTIF($E$2:$E$800,E175)&gt;1),"DUPLICATE","")</f>
        <v/>
      </c>
    </row>
    <row r="176">
      <c r="AA176" s="5" t="n"/>
      <c r="AB176" s="5" t="n"/>
      <c r="AC176">
        <f>IF(AND(E176&lt;&gt;"",COUNTIF($E$2:$E$800,E176)&gt;1),"DUPLICATE","")</f>
        <v/>
      </c>
    </row>
    <row r="177">
      <c r="AA177" s="5" t="n"/>
      <c r="AB177" s="5" t="n"/>
      <c r="AC177">
        <f>IF(AND(E177&lt;&gt;"",COUNTIF($E$2:$E$800,E177)&gt;1),"DUPLICATE","")</f>
        <v/>
      </c>
    </row>
    <row r="178">
      <c r="AA178" s="5" t="n"/>
      <c r="AB178" s="5" t="n"/>
      <c r="AC178">
        <f>IF(AND(E178&lt;&gt;"",COUNTIF($E$2:$E$800,E178)&gt;1),"DUPLICATE","")</f>
        <v/>
      </c>
    </row>
    <row r="179">
      <c r="AA179" s="5" t="n"/>
      <c r="AB179" s="5" t="n"/>
      <c r="AC179">
        <f>IF(AND(E179&lt;&gt;"",COUNTIF($E$2:$E$800,E179)&gt;1),"DUPLICATE","")</f>
        <v/>
      </c>
    </row>
    <row r="180">
      <c r="AA180" s="5" t="n"/>
      <c r="AB180" s="5" t="n"/>
      <c r="AC180">
        <f>IF(AND(E180&lt;&gt;"",COUNTIF($E$2:$E$800,E180)&gt;1),"DUPLICATE","")</f>
        <v/>
      </c>
    </row>
    <row r="181">
      <c r="AA181" s="5" t="n"/>
      <c r="AB181" s="5" t="n"/>
      <c r="AC181">
        <f>IF(AND(E181&lt;&gt;"",COUNTIF($E$2:$E$800,E181)&gt;1),"DUPLICATE","")</f>
        <v/>
      </c>
    </row>
    <row r="182">
      <c r="AA182" s="5" t="n"/>
      <c r="AB182" s="5" t="n"/>
      <c r="AC182">
        <f>IF(AND(E182&lt;&gt;"",COUNTIF($E$2:$E$800,E182)&gt;1),"DUPLICATE","")</f>
        <v/>
      </c>
    </row>
    <row r="183">
      <c r="AA183" s="5" t="n"/>
      <c r="AB183" s="5" t="n"/>
      <c r="AC183">
        <f>IF(AND(E183&lt;&gt;"",COUNTIF($E$2:$E$800,E183)&gt;1),"DUPLICATE","")</f>
        <v/>
      </c>
    </row>
    <row r="184">
      <c r="AA184" s="5" t="n"/>
      <c r="AB184" s="5" t="n"/>
      <c r="AC184">
        <f>IF(AND(E184&lt;&gt;"",COUNTIF($E$2:$E$800,E184)&gt;1),"DUPLICATE","")</f>
        <v/>
      </c>
    </row>
    <row r="185">
      <c r="AA185" s="5" t="n"/>
      <c r="AB185" s="5" t="n"/>
      <c r="AC185">
        <f>IF(AND(E185&lt;&gt;"",COUNTIF($E$2:$E$800,E185)&gt;1),"DUPLICATE","")</f>
        <v/>
      </c>
    </row>
    <row r="186">
      <c r="AA186" s="5" t="n"/>
      <c r="AB186" s="5" t="n"/>
      <c r="AC186">
        <f>IF(AND(E186&lt;&gt;"",COUNTIF($E$2:$E$800,E186)&gt;1),"DUPLICATE","")</f>
        <v/>
      </c>
    </row>
    <row r="187">
      <c r="AA187" s="5" t="n"/>
      <c r="AB187" s="5" t="n"/>
      <c r="AC187">
        <f>IF(AND(E187&lt;&gt;"",COUNTIF($E$2:$E$800,E187)&gt;1),"DUPLICATE","")</f>
        <v/>
      </c>
    </row>
    <row r="188">
      <c r="AA188" s="5" t="n"/>
      <c r="AB188" s="5" t="n"/>
      <c r="AC188">
        <f>IF(AND(E188&lt;&gt;"",COUNTIF($E$2:$E$800,E188)&gt;1),"DUPLICATE","")</f>
        <v/>
      </c>
    </row>
    <row r="189">
      <c r="AA189" s="5" t="n"/>
      <c r="AB189" s="5" t="n"/>
      <c r="AC189">
        <f>IF(AND(E189&lt;&gt;"",COUNTIF($E$2:$E$800,E189)&gt;1),"DUPLICATE","")</f>
        <v/>
      </c>
    </row>
    <row r="190">
      <c r="AA190" s="5" t="n"/>
      <c r="AB190" s="5" t="n"/>
      <c r="AC190">
        <f>IF(AND(E190&lt;&gt;"",COUNTIF($E$2:$E$800,E190)&gt;1),"DUPLICATE","")</f>
        <v/>
      </c>
    </row>
    <row r="191">
      <c r="AA191" s="5" t="n"/>
      <c r="AB191" s="5" t="n"/>
      <c r="AC191">
        <f>IF(AND(E191&lt;&gt;"",COUNTIF($E$2:$E$800,E191)&gt;1),"DUPLICATE","")</f>
        <v/>
      </c>
    </row>
    <row r="192">
      <c r="AA192" s="5" t="n"/>
      <c r="AB192" s="5" t="n"/>
      <c r="AC192">
        <f>IF(AND(E192&lt;&gt;"",COUNTIF($E$2:$E$800,E192)&gt;1),"DUPLICATE","")</f>
        <v/>
      </c>
    </row>
    <row r="193">
      <c r="AA193" s="5" t="n"/>
      <c r="AB193" s="5" t="n"/>
      <c r="AC193">
        <f>IF(AND(E193&lt;&gt;"",COUNTIF($E$2:$E$800,E193)&gt;1),"DUPLICATE","")</f>
        <v/>
      </c>
    </row>
    <row r="194">
      <c r="AA194" s="5" t="n"/>
      <c r="AB194" s="5" t="n"/>
      <c r="AC194">
        <f>IF(AND(E194&lt;&gt;"",COUNTIF($E$2:$E$800,E194)&gt;1),"DUPLICATE","")</f>
        <v/>
      </c>
    </row>
    <row r="195">
      <c r="AA195" s="5" t="n"/>
      <c r="AB195" s="5" t="n"/>
      <c r="AC195">
        <f>IF(AND(E195&lt;&gt;"",COUNTIF($E$2:$E$800,E195)&gt;1),"DUPLICATE","")</f>
        <v/>
      </c>
    </row>
    <row r="196">
      <c r="AA196" s="5" t="n"/>
      <c r="AB196" s="5" t="n"/>
      <c r="AC196">
        <f>IF(AND(E196&lt;&gt;"",COUNTIF($E$2:$E$800,E196)&gt;1),"DUPLICATE","")</f>
        <v/>
      </c>
    </row>
    <row r="197">
      <c r="AA197" s="5" t="n"/>
      <c r="AB197" s="5" t="n"/>
      <c r="AC197">
        <f>IF(AND(E197&lt;&gt;"",COUNTIF($E$2:$E$800,E197)&gt;1),"DUPLICATE","")</f>
        <v/>
      </c>
    </row>
    <row r="198">
      <c r="AA198" s="5" t="n"/>
      <c r="AB198" s="5" t="n"/>
      <c r="AC198">
        <f>IF(AND(E198&lt;&gt;"",COUNTIF($E$2:$E$800,E198)&gt;1),"DUPLICATE","")</f>
        <v/>
      </c>
    </row>
    <row r="199">
      <c r="AA199" s="5" t="n"/>
      <c r="AB199" s="5" t="n"/>
      <c r="AC199">
        <f>IF(AND(E199&lt;&gt;"",COUNTIF($E$2:$E$800,E199)&gt;1),"DUPLICATE","")</f>
        <v/>
      </c>
    </row>
    <row r="200">
      <c r="AA200" s="5" t="n"/>
      <c r="AB200" s="5" t="n"/>
      <c r="AC200">
        <f>IF(AND(E200&lt;&gt;"",COUNTIF($E$2:$E$800,E200)&gt;1),"DUPLICATE","")</f>
        <v/>
      </c>
    </row>
    <row r="201">
      <c r="AA201" s="5" t="n"/>
      <c r="AB201" s="5" t="n"/>
      <c r="AC201">
        <f>IF(AND(E201&lt;&gt;"",COUNTIF($E$2:$E$800,E201)&gt;1),"DUPLICATE","")</f>
        <v/>
      </c>
    </row>
    <row r="202">
      <c r="AA202" s="5" t="n"/>
      <c r="AB202" s="5" t="n"/>
      <c r="AC202">
        <f>IF(AND(E202&lt;&gt;"",COUNTIF($E$2:$E$800,E202)&gt;1),"DUPLICATE","")</f>
        <v/>
      </c>
    </row>
    <row r="203">
      <c r="AA203" s="5" t="n"/>
      <c r="AB203" s="5" t="n"/>
      <c r="AC203">
        <f>IF(AND(E203&lt;&gt;"",COUNTIF($E$2:$E$800,E203)&gt;1),"DUPLICATE","")</f>
        <v/>
      </c>
    </row>
    <row r="204">
      <c r="AA204" s="5" t="n"/>
      <c r="AB204" s="5" t="n"/>
      <c r="AC204">
        <f>IF(AND(E204&lt;&gt;"",COUNTIF($E$2:$E$800,E204)&gt;1),"DUPLICATE","")</f>
        <v/>
      </c>
    </row>
    <row r="205">
      <c r="AA205" s="5" t="n"/>
      <c r="AB205" s="5" t="n"/>
      <c r="AC205">
        <f>IF(AND(E205&lt;&gt;"",COUNTIF($E$2:$E$800,E205)&gt;1),"DUPLICATE","")</f>
        <v/>
      </c>
    </row>
    <row r="206">
      <c r="AA206" s="5" t="n"/>
      <c r="AB206" s="5" t="n"/>
      <c r="AC206">
        <f>IF(AND(E206&lt;&gt;"",COUNTIF($E$2:$E$800,E206)&gt;1),"DUPLICATE","")</f>
        <v/>
      </c>
    </row>
    <row r="207">
      <c r="AA207" s="5" t="n"/>
      <c r="AB207" s="5" t="n"/>
      <c r="AC207">
        <f>IF(AND(E207&lt;&gt;"",COUNTIF($E$2:$E$800,E207)&gt;1),"DUPLICATE","")</f>
        <v/>
      </c>
    </row>
    <row r="208">
      <c r="AA208" s="5" t="n"/>
      <c r="AB208" s="5" t="n"/>
      <c r="AC208">
        <f>IF(AND(E208&lt;&gt;"",COUNTIF($E$2:$E$800,E208)&gt;1),"DUPLICATE","")</f>
        <v/>
      </c>
    </row>
    <row r="209">
      <c r="AA209" s="5" t="n"/>
      <c r="AB209" s="5" t="n"/>
      <c r="AC209">
        <f>IF(AND(E209&lt;&gt;"",COUNTIF($E$2:$E$800,E209)&gt;1),"DUPLICATE","")</f>
        <v/>
      </c>
    </row>
    <row r="210">
      <c r="AA210" s="5" t="n"/>
      <c r="AB210" s="5" t="n"/>
      <c r="AC210">
        <f>IF(AND(E210&lt;&gt;"",COUNTIF($E$2:$E$800,E210)&gt;1),"DUPLICATE","")</f>
        <v/>
      </c>
    </row>
    <row r="211">
      <c r="AA211" s="5" t="n"/>
      <c r="AB211" s="5" t="n"/>
      <c r="AC211">
        <f>IF(AND(E211&lt;&gt;"",COUNTIF($E$2:$E$800,E211)&gt;1),"DUPLICATE","")</f>
        <v/>
      </c>
    </row>
    <row r="212">
      <c r="AA212" s="5" t="n"/>
      <c r="AB212" s="5" t="n"/>
      <c r="AC212">
        <f>IF(AND(E212&lt;&gt;"",COUNTIF($E$2:$E$800,E212)&gt;1),"DUPLICATE","")</f>
        <v/>
      </c>
    </row>
    <row r="213">
      <c r="AA213" s="5" t="n"/>
      <c r="AB213" s="5" t="n"/>
      <c r="AC213">
        <f>IF(AND(E213&lt;&gt;"",COUNTIF($E$2:$E$800,E213)&gt;1),"DUPLICATE","")</f>
        <v/>
      </c>
    </row>
    <row r="214">
      <c r="AA214" s="5" t="n"/>
      <c r="AB214" s="5" t="n"/>
      <c r="AC214">
        <f>IF(AND(E214&lt;&gt;"",COUNTIF($E$2:$E$800,E214)&gt;1),"DUPLICATE","")</f>
        <v/>
      </c>
    </row>
    <row r="215">
      <c r="AA215" s="5" t="n"/>
      <c r="AB215" s="5" t="n"/>
      <c r="AC215">
        <f>IF(AND(E215&lt;&gt;"",COUNTIF($E$2:$E$800,E215)&gt;1),"DUPLICATE","")</f>
        <v/>
      </c>
    </row>
    <row r="216">
      <c r="AA216" s="5" t="n"/>
      <c r="AB216" s="5" t="n"/>
      <c r="AC216">
        <f>IF(AND(E216&lt;&gt;"",COUNTIF($E$2:$E$800,E216)&gt;1),"DUPLICATE","")</f>
        <v/>
      </c>
    </row>
    <row r="217">
      <c r="AA217" s="5" t="n"/>
      <c r="AB217" s="5" t="n"/>
      <c r="AC217">
        <f>IF(AND(E217&lt;&gt;"",COUNTIF($E$2:$E$800,E217)&gt;1),"DUPLICATE","")</f>
        <v/>
      </c>
    </row>
    <row r="218">
      <c r="AA218" s="5" t="n"/>
      <c r="AB218" s="5" t="n"/>
      <c r="AC218">
        <f>IF(AND(E218&lt;&gt;"",COUNTIF($E$2:$E$800,E218)&gt;1),"DUPLICATE","")</f>
        <v/>
      </c>
    </row>
    <row r="219">
      <c r="AA219" s="5" t="n"/>
      <c r="AB219" s="5" t="n"/>
      <c r="AC219">
        <f>IF(AND(E219&lt;&gt;"",COUNTIF($E$2:$E$800,E219)&gt;1),"DUPLICATE","")</f>
        <v/>
      </c>
    </row>
    <row r="220">
      <c r="AA220" s="5" t="n"/>
      <c r="AB220" s="5" t="n"/>
      <c r="AC220">
        <f>IF(AND(E220&lt;&gt;"",COUNTIF($E$2:$E$800,E220)&gt;1),"DUPLICATE","")</f>
        <v/>
      </c>
    </row>
    <row r="221">
      <c r="AA221" s="5" t="n"/>
      <c r="AB221" s="5" t="n"/>
      <c r="AC221">
        <f>IF(AND(E221&lt;&gt;"",COUNTIF($E$2:$E$800,E221)&gt;1),"DUPLICATE","")</f>
        <v/>
      </c>
    </row>
    <row r="222">
      <c r="AA222" s="5" t="n"/>
      <c r="AB222" s="5" t="n"/>
      <c r="AC222">
        <f>IF(AND(E222&lt;&gt;"",COUNTIF($E$2:$E$800,E222)&gt;1),"DUPLICATE","")</f>
        <v/>
      </c>
    </row>
    <row r="223">
      <c r="AA223" s="5" t="n"/>
      <c r="AB223" s="5" t="n"/>
      <c r="AC223">
        <f>IF(AND(E223&lt;&gt;"",COUNTIF($E$2:$E$800,E223)&gt;1),"DUPLICATE","")</f>
        <v/>
      </c>
    </row>
    <row r="224">
      <c r="AA224" s="5" t="n"/>
      <c r="AB224" s="5" t="n"/>
      <c r="AC224">
        <f>IF(AND(E224&lt;&gt;"",COUNTIF($E$2:$E$800,E224)&gt;1),"DUPLICATE","")</f>
        <v/>
      </c>
    </row>
    <row r="225">
      <c r="AA225" s="5" t="n"/>
      <c r="AB225" s="5" t="n"/>
      <c r="AC225">
        <f>IF(AND(E225&lt;&gt;"",COUNTIF($E$2:$E$800,E225)&gt;1),"DUPLICATE","")</f>
        <v/>
      </c>
    </row>
    <row r="226">
      <c r="AA226" s="5" t="n"/>
      <c r="AB226" s="5" t="n"/>
      <c r="AC226">
        <f>IF(AND(E226&lt;&gt;"",COUNTIF($E$2:$E$800,E226)&gt;1),"DUPLICATE","")</f>
        <v/>
      </c>
    </row>
    <row r="227">
      <c r="AA227" s="5" t="n"/>
      <c r="AB227" s="5" t="n"/>
      <c r="AC227">
        <f>IF(AND(E227&lt;&gt;"",COUNTIF($E$2:$E$800,E227)&gt;1),"DUPLICATE","")</f>
        <v/>
      </c>
    </row>
    <row r="228">
      <c r="AA228" s="5" t="n"/>
      <c r="AB228" s="5" t="n"/>
      <c r="AC228">
        <f>IF(AND(E228&lt;&gt;"",COUNTIF($E$2:$E$800,E228)&gt;1),"DUPLICATE","")</f>
        <v/>
      </c>
    </row>
    <row r="229">
      <c r="AA229" s="5" t="n"/>
      <c r="AB229" s="5" t="n"/>
      <c r="AC229">
        <f>IF(AND(E229&lt;&gt;"",COUNTIF($E$2:$E$800,E229)&gt;1),"DUPLICATE","")</f>
        <v/>
      </c>
    </row>
    <row r="230">
      <c r="AA230" s="5" t="n"/>
      <c r="AB230" s="5" t="n"/>
      <c r="AC230">
        <f>IF(AND(E230&lt;&gt;"",COUNTIF($E$2:$E$800,E230)&gt;1),"DUPLICATE","")</f>
        <v/>
      </c>
    </row>
    <row r="231">
      <c r="AA231" s="5" t="n"/>
      <c r="AB231" s="5" t="n"/>
      <c r="AC231">
        <f>IF(AND(E231&lt;&gt;"",COUNTIF($E$2:$E$800,E231)&gt;1),"DUPLICATE","")</f>
        <v/>
      </c>
    </row>
    <row r="232">
      <c r="AA232" s="5" t="n"/>
      <c r="AB232" s="5" t="n"/>
      <c r="AC232">
        <f>IF(AND(E232&lt;&gt;"",COUNTIF($E$2:$E$800,E232)&gt;1),"DUPLICATE","")</f>
        <v/>
      </c>
    </row>
    <row r="233">
      <c r="AA233" s="5" t="n"/>
      <c r="AB233" s="5" t="n"/>
      <c r="AC233">
        <f>IF(AND(E233&lt;&gt;"",COUNTIF($E$2:$E$800,E233)&gt;1),"DUPLICATE","")</f>
        <v/>
      </c>
    </row>
    <row r="234">
      <c r="AA234" s="5" t="n"/>
      <c r="AB234" s="5" t="n"/>
      <c r="AC234">
        <f>IF(AND(E234&lt;&gt;"",COUNTIF($E$2:$E$800,E234)&gt;1),"DUPLICATE","")</f>
        <v/>
      </c>
    </row>
    <row r="235">
      <c r="AA235" s="5" t="n"/>
      <c r="AB235" s="5" t="n"/>
      <c r="AC235">
        <f>IF(AND(E235&lt;&gt;"",COUNTIF($E$2:$E$800,E235)&gt;1),"DUPLICATE","")</f>
        <v/>
      </c>
    </row>
    <row r="236">
      <c r="AA236" s="5" t="n"/>
      <c r="AB236" s="5" t="n"/>
      <c r="AC236">
        <f>IF(AND(E236&lt;&gt;"",COUNTIF($E$2:$E$800,E236)&gt;1),"DUPLICATE","")</f>
        <v/>
      </c>
    </row>
    <row r="237">
      <c r="AA237" s="5" t="n"/>
      <c r="AB237" s="5" t="n"/>
      <c r="AC237">
        <f>IF(AND(E237&lt;&gt;"",COUNTIF($E$2:$E$800,E237)&gt;1),"DUPLICATE","")</f>
        <v/>
      </c>
    </row>
    <row r="238">
      <c r="AA238" s="5" t="n"/>
      <c r="AB238" s="5" t="n"/>
      <c r="AC238">
        <f>IF(AND(E238&lt;&gt;"",COUNTIF($E$2:$E$800,E238)&gt;1),"DUPLICATE","")</f>
        <v/>
      </c>
    </row>
    <row r="239">
      <c r="AA239" s="5" t="n"/>
      <c r="AB239" s="5" t="n"/>
      <c r="AC239">
        <f>IF(AND(E239&lt;&gt;"",COUNTIF($E$2:$E$800,E239)&gt;1),"DUPLICATE","")</f>
        <v/>
      </c>
    </row>
    <row r="240">
      <c r="AA240" s="5" t="n"/>
      <c r="AB240" s="5" t="n"/>
      <c r="AC240">
        <f>IF(AND(E240&lt;&gt;"",COUNTIF($E$2:$E$800,E240)&gt;1),"DUPLICATE","")</f>
        <v/>
      </c>
    </row>
    <row r="241">
      <c r="AA241" s="5" t="n"/>
      <c r="AB241" s="5" t="n"/>
      <c r="AC241">
        <f>IF(AND(E241&lt;&gt;"",COUNTIF($E$2:$E$800,E241)&gt;1),"DUPLICATE","")</f>
        <v/>
      </c>
    </row>
    <row r="242">
      <c r="AA242" s="5" t="n"/>
      <c r="AB242" s="5" t="n"/>
      <c r="AC242">
        <f>IF(AND(E242&lt;&gt;"",COUNTIF($E$2:$E$800,E242)&gt;1),"DUPLICATE","")</f>
        <v/>
      </c>
    </row>
    <row r="243">
      <c r="AA243" s="5" t="n"/>
      <c r="AB243" s="5" t="n"/>
      <c r="AC243">
        <f>IF(AND(E243&lt;&gt;"",COUNTIF($E$2:$E$800,E243)&gt;1),"DUPLICATE","")</f>
        <v/>
      </c>
    </row>
    <row r="244">
      <c r="AA244" s="5" t="n"/>
      <c r="AB244" s="5" t="n"/>
      <c r="AC244">
        <f>IF(AND(E244&lt;&gt;"",COUNTIF($E$2:$E$800,E244)&gt;1),"DUPLICATE","")</f>
        <v/>
      </c>
    </row>
    <row r="245">
      <c r="AA245" s="5" t="n"/>
      <c r="AB245" s="5" t="n"/>
      <c r="AC245">
        <f>IF(AND(E245&lt;&gt;"",COUNTIF($E$2:$E$800,E245)&gt;1),"DUPLICATE","")</f>
        <v/>
      </c>
    </row>
    <row r="246">
      <c r="AA246" s="5" t="n"/>
      <c r="AB246" s="5" t="n"/>
      <c r="AC246">
        <f>IF(AND(E246&lt;&gt;"",COUNTIF($E$2:$E$800,E246)&gt;1),"DUPLICATE","")</f>
        <v/>
      </c>
    </row>
    <row r="247">
      <c r="AA247" s="5" t="n"/>
      <c r="AB247" s="5" t="n"/>
      <c r="AC247">
        <f>IF(AND(E247&lt;&gt;"",COUNTIF($E$2:$E$800,E247)&gt;1),"DUPLICATE","")</f>
        <v/>
      </c>
    </row>
    <row r="248">
      <c r="AA248" s="5" t="n"/>
      <c r="AB248" s="5" t="n"/>
      <c r="AC248">
        <f>IF(AND(E248&lt;&gt;"",COUNTIF($E$2:$E$800,E248)&gt;1),"DUPLICATE","")</f>
        <v/>
      </c>
    </row>
    <row r="249">
      <c r="AA249" s="5" t="n"/>
      <c r="AB249" s="5" t="n"/>
      <c r="AC249">
        <f>IF(AND(E249&lt;&gt;"",COUNTIF($E$2:$E$800,E249)&gt;1),"DUPLICATE","")</f>
        <v/>
      </c>
    </row>
    <row r="250">
      <c r="AA250" s="5" t="n"/>
      <c r="AB250" s="5" t="n"/>
      <c r="AC250">
        <f>IF(AND(E250&lt;&gt;"",COUNTIF($E$2:$E$800,E250)&gt;1),"DUPLICATE","")</f>
        <v/>
      </c>
    </row>
    <row r="251">
      <c r="AA251" s="5" t="n"/>
      <c r="AB251" s="5" t="n"/>
      <c r="AC251">
        <f>IF(AND(E251&lt;&gt;"",COUNTIF($E$2:$E$800,E251)&gt;1),"DUPLICATE","")</f>
        <v/>
      </c>
    </row>
    <row r="252">
      <c r="AA252" s="5" t="n"/>
      <c r="AB252" s="5" t="n"/>
      <c r="AC252">
        <f>IF(AND(E252&lt;&gt;"",COUNTIF($E$2:$E$800,E252)&gt;1),"DUPLICATE","")</f>
        <v/>
      </c>
    </row>
    <row r="253">
      <c r="AA253" s="5" t="n"/>
      <c r="AB253" s="5" t="n"/>
      <c r="AC253">
        <f>IF(AND(E253&lt;&gt;"",COUNTIF($E$2:$E$800,E253)&gt;1),"DUPLICATE","")</f>
        <v/>
      </c>
    </row>
    <row r="254">
      <c r="AA254" s="5" t="n"/>
      <c r="AB254" s="5" t="n"/>
      <c r="AC254">
        <f>IF(AND(E254&lt;&gt;"",COUNTIF($E$2:$E$800,E254)&gt;1),"DUPLICATE","")</f>
        <v/>
      </c>
    </row>
    <row r="255">
      <c r="AA255" s="5" t="n"/>
      <c r="AB255" s="5" t="n"/>
      <c r="AC255">
        <f>IF(AND(E255&lt;&gt;"",COUNTIF($E$2:$E$800,E255)&gt;1),"DUPLICATE","")</f>
        <v/>
      </c>
    </row>
    <row r="256">
      <c r="AA256" s="5" t="n"/>
      <c r="AB256" s="5" t="n"/>
      <c r="AC256">
        <f>IF(AND(E256&lt;&gt;"",COUNTIF($E$2:$E$800,E256)&gt;1),"DUPLICATE","")</f>
        <v/>
      </c>
    </row>
    <row r="257">
      <c r="AA257" s="5" t="n"/>
      <c r="AB257" s="5" t="n"/>
      <c r="AC257">
        <f>IF(AND(E257&lt;&gt;"",COUNTIF($E$2:$E$800,E257)&gt;1),"DUPLICATE","")</f>
        <v/>
      </c>
    </row>
    <row r="258">
      <c r="AA258" s="5" t="n"/>
      <c r="AB258" s="5" t="n"/>
      <c r="AC258">
        <f>IF(AND(E258&lt;&gt;"",COUNTIF($E$2:$E$800,E258)&gt;1),"DUPLICATE","")</f>
        <v/>
      </c>
    </row>
    <row r="259">
      <c r="AA259" s="5" t="n"/>
      <c r="AB259" s="5" t="n"/>
      <c r="AC259">
        <f>IF(AND(E259&lt;&gt;"",COUNTIF($E$2:$E$800,E259)&gt;1),"DUPLICATE","")</f>
        <v/>
      </c>
    </row>
    <row r="260">
      <c r="AA260" s="5" t="n"/>
      <c r="AB260" s="5" t="n"/>
      <c r="AC260">
        <f>IF(AND(E260&lt;&gt;"",COUNTIF($E$2:$E$800,E260)&gt;1),"DUPLICATE","")</f>
        <v/>
      </c>
    </row>
    <row r="261">
      <c r="AA261" s="5" t="n"/>
      <c r="AB261" s="5" t="n"/>
      <c r="AC261">
        <f>IF(AND(E261&lt;&gt;"",COUNTIF($E$2:$E$800,E261)&gt;1),"DUPLICATE","")</f>
        <v/>
      </c>
    </row>
    <row r="262">
      <c r="AA262" s="5" t="n"/>
      <c r="AB262" s="5" t="n"/>
      <c r="AC262">
        <f>IF(AND(E262&lt;&gt;"",COUNTIF($E$2:$E$800,E262)&gt;1),"DUPLICATE","")</f>
        <v/>
      </c>
    </row>
    <row r="263">
      <c r="AA263" s="5" t="n"/>
      <c r="AB263" s="5" t="n"/>
      <c r="AC263">
        <f>IF(AND(E263&lt;&gt;"",COUNTIF($E$2:$E$800,E263)&gt;1),"DUPLICATE","")</f>
        <v/>
      </c>
    </row>
    <row r="264">
      <c r="AA264" s="5" t="n"/>
      <c r="AB264" s="5" t="n"/>
      <c r="AC264">
        <f>IF(AND(E264&lt;&gt;"",COUNTIF($E$2:$E$800,E264)&gt;1),"DUPLICATE","")</f>
        <v/>
      </c>
    </row>
    <row r="265">
      <c r="AA265" s="5" t="n"/>
      <c r="AB265" s="5" t="n"/>
      <c r="AC265">
        <f>IF(AND(E265&lt;&gt;"",COUNTIF($E$2:$E$800,E265)&gt;1),"DUPLICATE","")</f>
        <v/>
      </c>
    </row>
    <row r="266">
      <c r="AA266" s="5" t="n"/>
      <c r="AB266" s="5" t="n"/>
      <c r="AC266">
        <f>IF(AND(E266&lt;&gt;"",COUNTIF($E$2:$E$800,E266)&gt;1),"DUPLICATE","")</f>
        <v/>
      </c>
    </row>
    <row r="267">
      <c r="AA267" s="5" t="n"/>
      <c r="AB267" s="5" t="n"/>
      <c r="AC267">
        <f>IF(AND(E267&lt;&gt;"",COUNTIF($E$2:$E$800,E267)&gt;1),"DUPLICATE","")</f>
        <v/>
      </c>
    </row>
    <row r="268">
      <c r="AA268" s="5" t="n"/>
      <c r="AB268" s="5" t="n"/>
      <c r="AC268">
        <f>IF(AND(E268&lt;&gt;"",COUNTIF($E$2:$E$800,E268)&gt;1),"DUPLICATE","")</f>
        <v/>
      </c>
    </row>
    <row r="269">
      <c r="AA269" s="5" t="n"/>
      <c r="AB269" s="5" t="n"/>
      <c r="AC269">
        <f>IF(AND(E269&lt;&gt;"",COUNTIF($E$2:$E$800,E269)&gt;1),"DUPLICATE","")</f>
        <v/>
      </c>
    </row>
    <row r="270">
      <c r="AA270" s="5" t="n"/>
      <c r="AB270" s="5" t="n"/>
      <c r="AC270">
        <f>IF(AND(E270&lt;&gt;"",COUNTIF($E$2:$E$800,E270)&gt;1),"DUPLICATE","")</f>
        <v/>
      </c>
    </row>
    <row r="271">
      <c r="AA271" s="5" t="n"/>
      <c r="AB271" s="5" t="n"/>
      <c r="AC271">
        <f>IF(AND(E271&lt;&gt;"",COUNTIF($E$2:$E$800,E271)&gt;1),"DUPLICATE","")</f>
        <v/>
      </c>
    </row>
    <row r="272">
      <c r="AA272" s="5" t="n"/>
      <c r="AB272" s="5" t="n"/>
      <c r="AC272">
        <f>IF(AND(E272&lt;&gt;"",COUNTIF($E$2:$E$800,E272)&gt;1),"DUPLICATE","")</f>
        <v/>
      </c>
    </row>
    <row r="273">
      <c r="AA273" s="5" t="n"/>
      <c r="AB273" s="5" t="n"/>
      <c r="AC273">
        <f>IF(AND(E273&lt;&gt;"",COUNTIF($E$2:$E$800,E273)&gt;1),"DUPLICATE","")</f>
        <v/>
      </c>
    </row>
    <row r="274">
      <c r="AA274" s="5" t="n"/>
      <c r="AB274" s="5" t="n"/>
      <c r="AC274">
        <f>IF(AND(E274&lt;&gt;"",COUNTIF($E$2:$E$800,E274)&gt;1),"DUPLICATE","")</f>
        <v/>
      </c>
    </row>
    <row r="275">
      <c r="AA275" s="5" t="n"/>
      <c r="AB275" s="5" t="n"/>
      <c r="AC275">
        <f>IF(AND(E275&lt;&gt;"",COUNTIF($E$2:$E$800,E275)&gt;1),"DUPLICATE","")</f>
        <v/>
      </c>
    </row>
    <row r="276">
      <c r="AA276" s="5" t="n"/>
      <c r="AB276" s="5" t="n"/>
      <c r="AC276">
        <f>IF(AND(E276&lt;&gt;"",COUNTIF($E$2:$E$800,E276)&gt;1),"DUPLICATE","")</f>
        <v/>
      </c>
    </row>
    <row r="277">
      <c r="AA277" s="5" t="n"/>
      <c r="AB277" s="5" t="n"/>
      <c r="AC277">
        <f>IF(AND(E277&lt;&gt;"",COUNTIF($E$2:$E$800,E277)&gt;1),"DUPLICATE","")</f>
        <v/>
      </c>
    </row>
    <row r="278">
      <c r="AA278" s="5" t="n"/>
      <c r="AB278" s="5" t="n"/>
      <c r="AC278">
        <f>IF(AND(E278&lt;&gt;"",COUNTIF($E$2:$E$800,E278)&gt;1),"DUPLICATE","")</f>
        <v/>
      </c>
    </row>
    <row r="279">
      <c r="AA279" s="5" t="n"/>
      <c r="AB279" s="5" t="n"/>
      <c r="AC279">
        <f>IF(AND(E279&lt;&gt;"",COUNTIF($E$2:$E$800,E279)&gt;1),"DUPLICATE","")</f>
        <v/>
      </c>
    </row>
    <row r="280">
      <c r="AA280" s="5" t="n"/>
      <c r="AB280" s="5" t="n"/>
      <c r="AC280">
        <f>IF(AND(E280&lt;&gt;"",COUNTIF($E$2:$E$800,E280)&gt;1),"DUPLICATE","")</f>
        <v/>
      </c>
    </row>
    <row r="281">
      <c r="AA281" s="5" t="n"/>
      <c r="AB281" s="5" t="n"/>
      <c r="AC281">
        <f>IF(AND(E281&lt;&gt;"",COUNTIF($E$2:$E$800,E281)&gt;1),"DUPLICATE","")</f>
        <v/>
      </c>
    </row>
    <row r="282">
      <c r="AA282" s="5" t="n"/>
      <c r="AB282" s="5" t="n"/>
      <c r="AC282">
        <f>IF(AND(E282&lt;&gt;"",COUNTIF($E$2:$E$800,E282)&gt;1),"DUPLICATE","")</f>
        <v/>
      </c>
    </row>
    <row r="283">
      <c r="AA283" s="5" t="n"/>
      <c r="AB283" s="5" t="n"/>
      <c r="AC283">
        <f>IF(AND(E283&lt;&gt;"",COUNTIF($E$2:$E$800,E283)&gt;1),"DUPLICATE","")</f>
        <v/>
      </c>
    </row>
    <row r="284">
      <c r="AA284" s="5" t="n"/>
      <c r="AB284" s="5" t="n"/>
      <c r="AC284">
        <f>IF(AND(E284&lt;&gt;"",COUNTIF($E$2:$E$800,E284)&gt;1),"DUPLICATE","")</f>
        <v/>
      </c>
    </row>
    <row r="285">
      <c r="AA285" s="5" t="n"/>
      <c r="AB285" s="5" t="n"/>
      <c r="AC285">
        <f>IF(AND(E285&lt;&gt;"",COUNTIF($E$2:$E$800,E285)&gt;1),"DUPLICATE","")</f>
        <v/>
      </c>
    </row>
    <row r="286">
      <c r="AA286" s="5" t="n"/>
      <c r="AB286" s="5" t="n"/>
      <c r="AC286">
        <f>IF(AND(E286&lt;&gt;"",COUNTIF($E$2:$E$800,E286)&gt;1),"DUPLICATE","")</f>
        <v/>
      </c>
    </row>
    <row r="287">
      <c r="AA287" s="5" t="n"/>
      <c r="AB287" s="5" t="n"/>
      <c r="AC287">
        <f>IF(AND(E287&lt;&gt;"",COUNTIF($E$2:$E$800,E287)&gt;1),"DUPLICATE","")</f>
        <v/>
      </c>
    </row>
    <row r="288">
      <c r="AA288" s="5" t="n"/>
      <c r="AB288" s="5" t="n"/>
      <c r="AC288">
        <f>IF(AND(E288&lt;&gt;"",COUNTIF($E$2:$E$800,E288)&gt;1),"DUPLICATE","")</f>
        <v/>
      </c>
    </row>
    <row r="289">
      <c r="AA289" s="5" t="n"/>
      <c r="AB289" s="5" t="n"/>
      <c r="AC289">
        <f>IF(AND(E289&lt;&gt;"",COUNTIF($E$2:$E$800,E289)&gt;1),"DUPLICATE","")</f>
        <v/>
      </c>
    </row>
    <row r="290">
      <c r="AA290" s="5" t="n"/>
      <c r="AB290" s="5" t="n"/>
      <c r="AC290">
        <f>IF(AND(E290&lt;&gt;"",COUNTIF($E$2:$E$800,E290)&gt;1),"DUPLICATE","")</f>
        <v/>
      </c>
    </row>
    <row r="291">
      <c r="AA291" s="5" t="n"/>
      <c r="AB291" s="5" t="n"/>
      <c r="AC291">
        <f>IF(AND(E291&lt;&gt;"",COUNTIF($E$2:$E$800,E291)&gt;1),"DUPLICATE","")</f>
        <v/>
      </c>
    </row>
    <row r="292">
      <c r="AA292" s="5" t="n"/>
      <c r="AB292" s="5" t="n"/>
      <c r="AC292">
        <f>IF(AND(E292&lt;&gt;"",COUNTIF($E$2:$E$800,E292)&gt;1),"DUPLICATE","")</f>
        <v/>
      </c>
    </row>
    <row r="293">
      <c r="AA293" s="5" t="n"/>
      <c r="AB293" s="5" t="n"/>
      <c r="AC293">
        <f>IF(AND(E293&lt;&gt;"",COUNTIF($E$2:$E$800,E293)&gt;1),"DUPLICATE","")</f>
        <v/>
      </c>
    </row>
    <row r="294">
      <c r="AA294" s="5" t="n"/>
      <c r="AB294" s="5" t="n"/>
      <c r="AC294">
        <f>IF(AND(E294&lt;&gt;"",COUNTIF($E$2:$E$800,E294)&gt;1),"DUPLICATE","")</f>
        <v/>
      </c>
    </row>
    <row r="295">
      <c r="AA295" s="5" t="n"/>
      <c r="AB295" s="5" t="n"/>
      <c r="AC295">
        <f>IF(AND(E295&lt;&gt;"",COUNTIF($E$2:$E$800,E295)&gt;1),"DUPLICATE","")</f>
        <v/>
      </c>
    </row>
    <row r="296">
      <c r="AA296" s="5" t="n"/>
      <c r="AB296" s="5" t="n"/>
      <c r="AC296">
        <f>IF(AND(E296&lt;&gt;"",COUNTIF($E$2:$E$800,E296)&gt;1),"DUPLICATE","")</f>
        <v/>
      </c>
    </row>
    <row r="297">
      <c r="AA297" s="5" t="n"/>
      <c r="AB297" s="5" t="n"/>
      <c r="AC297">
        <f>IF(AND(E297&lt;&gt;"",COUNTIF($E$2:$E$800,E297)&gt;1),"DUPLICATE","")</f>
        <v/>
      </c>
    </row>
    <row r="298">
      <c r="AA298" s="5" t="n"/>
      <c r="AB298" s="5" t="n"/>
      <c r="AC298">
        <f>IF(AND(E298&lt;&gt;"",COUNTIF($E$2:$E$800,E298)&gt;1),"DUPLICATE","")</f>
        <v/>
      </c>
    </row>
    <row r="299">
      <c r="AA299" s="5" t="n"/>
      <c r="AB299" s="5" t="n"/>
      <c r="AC299">
        <f>IF(AND(E299&lt;&gt;"",COUNTIF($E$2:$E$800,E299)&gt;1),"DUPLICATE","")</f>
        <v/>
      </c>
    </row>
    <row r="300">
      <c r="AA300" s="5" t="n"/>
      <c r="AB300" s="5" t="n"/>
      <c r="AC300">
        <f>IF(AND(E300&lt;&gt;"",COUNTIF($E$2:$E$800,E300)&gt;1),"DUPLICATE","")</f>
        <v/>
      </c>
    </row>
    <row r="301">
      <c r="AA301" s="5" t="n"/>
      <c r="AB301" s="5" t="n"/>
      <c r="AC301">
        <f>IF(AND(E301&lt;&gt;"",COUNTIF($E$2:$E$800,E301)&gt;1),"DUPLICATE","")</f>
        <v/>
      </c>
    </row>
    <row r="302">
      <c r="AA302" s="5" t="n"/>
      <c r="AB302" s="5" t="n"/>
      <c r="AC302">
        <f>IF(AND(E302&lt;&gt;"",COUNTIF($E$2:$E$800,E302)&gt;1),"DUPLICATE","")</f>
        <v/>
      </c>
    </row>
    <row r="303">
      <c r="AA303" s="5" t="n"/>
      <c r="AB303" s="5" t="n"/>
      <c r="AC303">
        <f>IF(AND(E303&lt;&gt;"",COUNTIF($E$2:$E$800,E303)&gt;1),"DUPLICATE","")</f>
        <v/>
      </c>
    </row>
    <row r="304">
      <c r="AA304" s="5" t="n"/>
      <c r="AB304" s="5" t="n"/>
      <c r="AC304">
        <f>IF(AND(E304&lt;&gt;"",COUNTIF($E$2:$E$800,E304)&gt;1),"DUPLICATE","")</f>
        <v/>
      </c>
    </row>
    <row r="305">
      <c r="AA305" s="5" t="n"/>
      <c r="AB305" s="5" t="n"/>
      <c r="AC305">
        <f>IF(AND(E305&lt;&gt;"",COUNTIF($E$2:$E$800,E305)&gt;1),"DUPLICATE","")</f>
        <v/>
      </c>
    </row>
    <row r="306">
      <c r="AA306" s="5" t="n"/>
      <c r="AB306" s="5" t="n"/>
      <c r="AC306">
        <f>IF(AND(E306&lt;&gt;"",COUNTIF($E$2:$E$800,E306)&gt;1),"DUPLICATE","")</f>
        <v/>
      </c>
    </row>
    <row r="307">
      <c r="AA307" s="5" t="n"/>
      <c r="AB307" s="5" t="n"/>
      <c r="AC307">
        <f>IF(AND(E307&lt;&gt;"",COUNTIF($E$2:$E$800,E307)&gt;1),"DUPLICATE","")</f>
        <v/>
      </c>
    </row>
    <row r="308">
      <c r="AA308" s="5" t="n"/>
      <c r="AB308" s="5" t="n"/>
      <c r="AC308">
        <f>IF(AND(E308&lt;&gt;"",COUNTIF($E$2:$E$800,E308)&gt;1),"DUPLICATE","")</f>
        <v/>
      </c>
    </row>
    <row r="309">
      <c r="AA309" s="5" t="n"/>
      <c r="AB309" s="5" t="n"/>
      <c r="AC309">
        <f>IF(AND(E309&lt;&gt;"",COUNTIF($E$2:$E$800,E309)&gt;1),"DUPLICATE","")</f>
        <v/>
      </c>
    </row>
    <row r="310">
      <c r="AA310" s="5" t="n"/>
      <c r="AB310" s="5" t="n"/>
      <c r="AC310">
        <f>IF(AND(E310&lt;&gt;"",COUNTIF($E$2:$E$800,E310)&gt;1),"DUPLICATE","")</f>
        <v/>
      </c>
    </row>
    <row r="311">
      <c r="AA311" s="5" t="n"/>
      <c r="AB311" s="5" t="n"/>
      <c r="AC311">
        <f>IF(AND(E311&lt;&gt;"",COUNTIF($E$2:$E$800,E311)&gt;1),"DUPLICATE","")</f>
        <v/>
      </c>
    </row>
    <row r="312">
      <c r="AA312" s="5" t="n"/>
      <c r="AB312" s="5" t="n"/>
      <c r="AC312">
        <f>IF(AND(E312&lt;&gt;"",COUNTIF($E$2:$E$800,E312)&gt;1),"DUPLICATE","")</f>
        <v/>
      </c>
    </row>
    <row r="313">
      <c r="AA313" s="5" t="n"/>
      <c r="AB313" s="5" t="n"/>
      <c r="AC313">
        <f>IF(AND(E313&lt;&gt;"",COUNTIF($E$2:$E$800,E313)&gt;1),"DUPLICATE","")</f>
        <v/>
      </c>
    </row>
    <row r="314">
      <c r="AA314" s="5" t="n"/>
      <c r="AB314" s="5" t="n"/>
      <c r="AC314">
        <f>IF(AND(E314&lt;&gt;"",COUNTIF($E$2:$E$800,E314)&gt;1),"DUPLICATE","")</f>
        <v/>
      </c>
    </row>
    <row r="315">
      <c r="AA315" s="5" t="n"/>
      <c r="AB315" s="5" t="n"/>
      <c r="AC315">
        <f>IF(AND(E315&lt;&gt;"",COUNTIF($E$2:$E$800,E315)&gt;1),"DUPLICATE","")</f>
        <v/>
      </c>
    </row>
    <row r="316">
      <c r="AA316" s="5" t="n"/>
      <c r="AB316" s="5" t="n"/>
      <c r="AC316">
        <f>IF(AND(E316&lt;&gt;"",COUNTIF($E$2:$E$800,E316)&gt;1),"DUPLICATE","")</f>
        <v/>
      </c>
    </row>
    <row r="317">
      <c r="AA317" s="5" t="n"/>
      <c r="AB317" s="5" t="n"/>
      <c r="AC317">
        <f>IF(AND(E317&lt;&gt;"",COUNTIF($E$2:$E$800,E317)&gt;1),"DUPLICATE","")</f>
        <v/>
      </c>
    </row>
    <row r="318">
      <c r="AA318" s="5" t="n"/>
      <c r="AB318" s="5" t="n"/>
      <c r="AC318">
        <f>IF(AND(E318&lt;&gt;"",COUNTIF($E$2:$E$800,E318)&gt;1),"DUPLICATE","")</f>
        <v/>
      </c>
    </row>
    <row r="319">
      <c r="AA319" s="5" t="n"/>
      <c r="AB319" s="5" t="n"/>
      <c r="AC319">
        <f>IF(AND(E319&lt;&gt;"",COUNTIF($E$2:$E$800,E319)&gt;1),"DUPLICATE","")</f>
        <v/>
      </c>
    </row>
    <row r="320">
      <c r="AA320" s="5" t="n"/>
      <c r="AB320" s="5" t="n"/>
      <c r="AC320">
        <f>IF(AND(E320&lt;&gt;"",COUNTIF($E$2:$E$800,E320)&gt;1),"DUPLICATE","")</f>
        <v/>
      </c>
    </row>
    <row r="321">
      <c r="AA321" s="5" t="n"/>
      <c r="AB321" s="5" t="n"/>
      <c r="AC321">
        <f>IF(AND(E321&lt;&gt;"",COUNTIF($E$2:$E$800,E321)&gt;1),"DUPLICATE","")</f>
        <v/>
      </c>
    </row>
    <row r="322">
      <c r="AA322" s="5" t="n"/>
      <c r="AB322" s="5" t="n"/>
      <c r="AC322">
        <f>IF(AND(E322&lt;&gt;"",COUNTIF($E$2:$E$800,E322)&gt;1),"DUPLICATE","")</f>
        <v/>
      </c>
    </row>
    <row r="323">
      <c r="AA323" s="5" t="n"/>
      <c r="AB323" s="5" t="n"/>
      <c r="AC323">
        <f>IF(AND(E323&lt;&gt;"",COUNTIF($E$2:$E$800,E323)&gt;1),"DUPLICATE","")</f>
        <v/>
      </c>
    </row>
    <row r="324">
      <c r="AA324" s="5" t="n"/>
      <c r="AB324" s="5" t="n"/>
      <c r="AC324">
        <f>IF(AND(E324&lt;&gt;"",COUNTIF($E$2:$E$800,E324)&gt;1),"DUPLICATE","")</f>
        <v/>
      </c>
    </row>
    <row r="325">
      <c r="AA325" s="5" t="n"/>
      <c r="AB325" s="5" t="n"/>
      <c r="AC325">
        <f>IF(AND(E325&lt;&gt;"",COUNTIF($E$2:$E$800,E325)&gt;1),"DUPLICATE","")</f>
        <v/>
      </c>
    </row>
    <row r="326">
      <c r="AA326" s="5" t="n"/>
      <c r="AB326" s="5" t="n"/>
      <c r="AC326">
        <f>IF(AND(E326&lt;&gt;"",COUNTIF($E$2:$E$800,E326)&gt;1),"DUPLICATE","")</f>
        <v/>
      </c>
    </row>
    <row r="327">
      <c r="AA327" s="5" t="n"/>
      <c r="AB327" s="5" t="n"/>
      <c r="AC327">
        <f>IF(AND(E327&lt;&gt;"",COUNTIF($E$2:$E$800,E327)&gt;1),"DUPLICATE","")</f>
        <v/>
      </c>
    </row>
    <row r="328">
      <c r="AA328" s="5" t="n"/>
      <c r="AB328" s="5" t="n"/>
      <c r="AC328">
        <f>IF(AND(E328&lt;&gt;"",COUNTIF($E$2:$E$800,E328)&gt;1),"DUPLICATE","")</f>
        <v/>
      </c>
    </row>
    <row r="329">
      <c r="AA329" s="5" t="n"/>
      <c r="AB329" s="5" t="n"/>
      <c r="AC329">
        <f>IF(AND(E329&lt;&gt;"",COUNTIF($E$2:$E$800,E329)&gt;1),"DUPLICATE","")</f>
        <v/>
      </c>
    </row>
    <row r="330">
      <c r="AA330" s="5" t="n"/>
      <c r="AB330" s="5" t="n"/>
      <c r="AC330">
        <f>IF(AND(E330&lt;&gt;"",COUNTIF($E$2:$E$800,E330)&gt;1),"DUPLICATE","")</f>
        <v/>
      </c>
    </row>
    <row r="331">
      <c r="AA331" s="5" t="n"/>
      <c r="AB331" s="5" t="n"/>
      <c r="AC331">
        <f>IF(AND(E331&lt;&gt;"",COUNTIF($E$2:$E$800,E331)&gt;1),"DUPLICATE","")</f>
        <v/>
      </c>
    </row>
    <row r="332">
      <c r="AA332" s="5" t="n"/>
      <c r="AB332" s="5" t="n"/>
      <c r="AC332">
        <f>IF(AND(E332&lt;&gt;"",COUNTIF($E$2:$E$800,E332)&gt;1),"DUPLICATE","")</f>
        <v/>
      </c>
    </row>
    <row r="333">
      <c r="AA333" s="5" t="n"/>
      <c r="AB333" s="5" t="n"/>
      <c r="AC333">
        <f>IF(AND(E333&lt;&gt;"",COUNTIF($E$2:$E$800,E333)&gt;1),"DUPLICATE","")</f>
        <v/>
      </c>
    </row>
    <row r="334">
      <c r="AA334" s="5" t="n"/>
      <c r="AB334" s="5" t="n"/>
      <c r="AC334">
        <f>IF(AND(E334&lt;&gt;"",COUNTIF($E$2:$E$800,E334)&gt;1),"DUPLICATE","")</f>
        <v/>
      </c>
    </row>
    <row r="335">
      <c r="AA335" s="5" t="n"/>
      <c r="AB335" s="5" t="n"/>
      <c r="AC335">
        <f>IF(AND(E335&lt;&gt;"",COUNTIF($E$2:$E$800,E335)&gt;1),"DUPLICATE","")</f>
        <v/>
      </c>
    </row>
    <row r="336">
      <c r="AA336" s="5" t="n"/>
      <c r="AB336" s="5" t="n"/>
      <c r="AC336">
        <f>IF(AND(E336&lt;&gt;"",COUNTIF($E$2:$E$800,E336)&gt;1),"DUPLICATE","")</f>
        <v/>
      </c>
    </row>
    <row r="337">
      <c r="AA337" s="5" t="n"/>
      <c r="AB337" s="5" t="n"/>
      <c r="AC337">
        <f>IF(AND(E337&lt;&gt;"",COUNTIF($E$2:$E$800,E337)&gt;1),"DUPLICATE","")</f>
        <v/>
      </c>
    </row>
    <row r="338">
      <c r="AA338" s="5" t="n"/>
      <c r="AB338" s="5" t="n"/>
      <c r="AC338">
        <f>IF(AND(E338&lt;&gt;"",COUNTIF($E$2:$E$800,E338)&gt;1),"DUPLICATE","")</f>
        <v/>
      </c>
    </row>
    <row r="339">
      <c r="AA339" s="5" t="n"/>
      <c r="AB339" s="5" t="n"/>
      <c r="AC339">
        <f>IF(AND(E339&lt;&gt;"",COUNTIF($E$2:$E$800,E339)&gt;1),"DUPLICATE","")</f>
        <v/>
      </c>
    </row>
    <row r="340">
      <c r="AA340" s="5" t="n"/>
      <c r="AB340" s="5" t="n"/>
      <c r="AC340">
        <f>IF(AND(E340&lt;&gt;"",COUNTIF($E$2:$E$800,E340)&gt;1),"DUPLICATE","")</f>
        <v/>
      </c>
    </row>
    <row r="341">
      <c r="AA341" s="5" t="n"/>
      <c r="AB341" s="5" t="n"/>
      <c r="AC341">
        <f>IF(AND(E341&lt;&gt;"",COUNTIF($E$2:$E$800,E341)&gt;1),"DUPLICATE","")</f>
        <v/>
      </c>
    </row>
    <row r="342">
      <c r="AA342" s="5" t="n"/>
      <c r="AB342" s="5" t="n"/>
      <c r="AC342">
        <f>IF(AND(E342&lt;&gt;"",COUNTIF($E$2:$E$800,E342)&gt;1),"DUPLICATE","")</f>
        <v/>
      </c>
    </row>
    <row r="343">
      <c r="AA343" s="5" t="n"/>
      <c r="AB343" s="5" t="n"/>
      <c r="AC343">
        <f>IF(AND(E343&lt;&gt;"",COUNTIF($E$2:$E$800,E343)&gt;1),"DUPLICATE","")</f>
        <v/>
      </c>
    </row>
    <row r="344">
      <c r="AA344" s="5" t="n"/>
      <c r="AB344" s="5" t="n"/>
      <c r="AC344">
        <f>IF(AND(E344&lt;&gt;"",COUNTIF($E$2:$E$800,E344)&gt;1),"DUPLICATE","")</f>
        <v/>
      </c>
    </row>
    <row r="345">
      <c r="AA345" s="5" t="n"/>
      <c r="AB345" s="5" t="n"/>
      <c r="AC345">
        <f>IF(AND(E345&lt;&gt;"",COUNTIF($E$2:$E$800,E345)&gt;1),"DUPLICATE","")</f>
        <v/>
      </c>
    </row>
    <row r="346">
      <c r="AA346" s="5" t="n"/>
      <c r="AB346" s="5" t="n"/>
      <c r="AC346">
        <f>IF(AND(E346&lt;&gt;"",COUNTIF($E$2:$E$800,E346)&gt;1),"DUPLICATE","")</f>
        <v/>
      </c>
    </row>
    <row r="347">
      <c r="AA347" s="5" t="n"/>
      <c r="AB347" s="5" t="n"/>
      <c r="AC347">
        <f>IF(AND(E347&lt;&gt;"",COUNTIF($E$2:$E$800,E347)&gt;1),"DUPLICATE","")</f>
        <v/>
      </c>
    </row>
    <row r="348">
      <c r="AA348" s="5" t="n"/>
      <c r="AB348" s="5" t="n"/>
      <c r="AC348">
        <f>IF(AND(E348&lt;&gt;"",COUNTIF($E$2:$E$800,E348)&gt;1),"DUPLICATE","")</f>
        <v/>
      </c>
    </row>
    <row r="349">
      <c r="AA349" s="5" t="n"/>
      <c r="AB349" s="5" t="n"/>
      <c r="AC349">
        <f>IF(AND(E349&lt;&gt;"",COUNTIF($E$2:$E$800,E349)&gt;1),"DUPLICATE","")</f>
        <v/>
      </c>
    </row>
    <row r="350">
      <c r="AA350" s="5" t="n"/>
      <c r="AB350" s="5" t="n"/>
      <c r="AC350">
        <f>IF(AND(E350&lt;&gt;"",COUNTIF($E$2:$E$800,E350)&gt;1),"DUPLICATE","")</f>
        <v/>
      </c>
    </row>
    <row r="351">
      <c r="AA351" s="5" t="n"/>
      <c r="AB351" s="5" t="n"/>
      <c r="AC351">
        <f>IF(AND(E351&lt;&gt;"",COUNTIF($E$2:$E$800,E351)&gt;1),"DUPLICATE","")</f>
        <v/>
      </c>
    </row>
    <row r="352">
      <c r="AA352" s="5" t="n"/>
      <c r="AB352" s="5" t="n"/>
      <c r="AC352">
        <f>IF(AND(E352&lt;&gt;"",COUNTIF($E$2:$E$800,E352)&gt;1),"DUPLICATE","")</f>
        <v/>
      </c>
    </row>
    <row r="353">
      <c r="AA353" s="5" t="n"/>
      <c r="AB353" s="5" t="n"/>
      <c r="AC353">
        <f>IF(AND(E353&lt;&gt;"",COUNTIF($E$2:$E$800,E353)&gt;1),"DUPLICATE","")</f>
        <v/>
      </c>
    </row>
    <row r="354">
      <c r="AA354" s="5" t="n"/>
      <c r="AB354" s="5" t="n"/>
      <c r="AC354">
        <f>IF(AND(E354&lt;&gt;"",COUNTIF($E$2:$E$800,E354)&gt;1),"DUPLICATE","")</f>
        <v/>
      </c>
    </row>
    <row r="355">
      <c r="AA355" s="5" t="n"/>
      <c r="AB355" s="5" t="n"/>
      <c r="AC355">
        <f>IF(AND(E355&lt;&gt;"",COUNTIF($E$2:$E$800,E355)&gt;1),"DUPLICATE","")</f>
        <v/>
      </c>
    </row>
    <row r="356">
      <c r="AA356" s="5" t="n"/>
      <c r="AB356" s="5" t="n"/>
      <c r="AC356">
        <f>IF(AND(E356&lt;&gt;"",COUNTIF($E$2:$E$800,E356)&gt;1),"DUPLICATE","")</f>
        <v/>
      </c>
    </row>
    <row r="357">
      <c r="AA357" s="5" t="n"/>
      <c r="AB357" s="5" t="n"/>
      <c r="AC357">
        <f>IF(AND(E357&lt;&gt;"",COUNTIF($E$2:$E$800,E357)&gt;1),"DUPLICATE","")</f>
        <v/>
      </c>
    </row>
    <row r="358">
      <c r="AA358" s="5" t="n"/>
      <c r="AB358" s="5" t="n"/>
      <c r="AC358">
        <f>IF(AND(E358&lt;&gt;"",COUNTIF($E$2:$E$800,E358)&gt;1),"DUPLICATE","")</f>
        <v/>
      </c>
    </row>
    <row r="359">
      <c r="AA359" s="5" t="n"/>
      <c r="AB359" s="5" t="n"/>
      <c r="AC359">
        <f>IF(AND(E359&lt;&gt;"",COUNTIF($E$2:$E$800,E359)&gt;1),"DUPLICATE","")</f>
        <v/>
      </c>
    </row>
    <row r="360">
      <c r="AA360" s="5" t="n"/>
      <c r="AB360" s="5" t="n"/>
      <c r="AC360">
        <f>IF(AND(E360&lt;&gt;"",COUNTIF($E$2:$E$800,E360)&gt;1),"DUPLICATE","")</f>
        <v/>
      </c>
    </row>
    <row r="361">
      <c r="AA361" s="5" t="n"/>
      <c r="AB361" s="5" t="n"/>
      <c r="AC361">
        <f>IF(AND(E361&lt;&gt;"",COUNTIF($E$2:$E$800,E361)&gt;1),"DUPLICATE","")</f>
        <v/>
      </c>
    </row>
    <row r="362">
      <c r="AA362" s="5" t="n"/>
      <c r="AB362" s="5" t="n"/>
      <c r="AC362">
        <f>IF(AND(E362&lt;&gt;"",COUNTIF($E$2:$E$800,E362)&gt;1),"DUPLICATE","")</f>
        <v/>
      </c>
    </row>
    <row r="363">
      <c r="AA363" s="5" t="n"/>
      <c r="AB363" s="5" t="n"/>
      <c r="AC363">
        <f>IF(AND(E363&lt;&gt;"",COUNTIF($E$2:$E$800,E363)&gt;1),"DUPLICATE","")</f>
        <v/>
      </c>
    </row>
    <row r="364">
      <c r="AA364" s="5" t="n"/>
      <c r="AB364" s="5" t="n"/>
      <c r="AC364">
        <f>IF(AND(E364&lt;&gt;"",COUNTIF($E$2:$E$800,E364)&gt;1),"DUPLICATE","")</f>
        <v/>
      </c>
    </row>
    <row r="365">
      <c r="AA365" s="5" t="n"/>
      <c r="AB365" s="5" t="n"/>
      <c r="AC365">
        <f>IF(AND(E365&lt;&gt;"",COUNTIF($E$2:$E$800,E365)&gt;1),"DUPLICATE","")</f>
        <v/>
      </c>
    </row>
    <row r="366">
      <c r="AA366" s="5" t="n"/>
      <c r="AB366" s="5" t="n"/>
      <c r="AC366">
        <f>IF(AND(E366&lt;&gt;"",COUNTIF($E$2:$E$800,E366)&gt;1),"DUPLICATE","")</f>
        <v/>
      </c>
    </row>
    <row r="367">
      <c r="AA367" s="5" t="n"/>
      <c r="AB367" s="5" t="n"/>
      <c r="AC367">
        <f>IF(AND(E367&lt;&gt;"",COUNTIF($E$2:$E$800,E367)&gt;1),"DUPLICATE","")</f>
        <v/>
      </c>
    </row>
    <row r="368">
      <c r="AA368" s="5" t="n"/>
      <c r="AB368" s="5" t="n"/>
      <c r="AC368">
        <f>IF(AND(E368&lt;&gt;"",COUNTIF($E$2:$E$800,E368)&gt;1),"DUPLICATE","")</f>
        <v/>
      </c>
    </row>
    <row r="369">
      <c r="AA369" s="5" t="n"/>
      <c r="AB369" s="5" t="n"/>
      <c r="AC369">
        <f>IF(AND(E369&lt;&gt;"",COUNTIF($E$2:$E$800,E369)&gt;1),"DUPLICATE","")</f>
        <v/>
      </c>
    </row>
    <row r="370">
      <c r="AA370" s="5" t="n"/>
      <c r="AB370" s="5" t="n"/>
      <c r="AC370">
        <f>IF(AND(E370&lt;&gt;"",COUNTIF($E$2:$E$800,E370)&gt;1),"DUPLICATE","")</f>
        <v/>
      </c>
    </row>
    <row r="371">
      <c r="AA371" s="5" t="n"/>
      <c r="AB371" s="5" t="n"/>
      <c r="AC371">
        <f>IF(AND(E371&lt;&gt;"",COUNTIF($E$2:$E$800,E371)&gt;1),"DUPLICATE","")</f>
        <v/>
      </c>
    </row>
    <row r="372">
      <c r="AA372" s="5" t="n"/>
      <c r="AB372" s="5" t="n"/>
      <c r="AC372">
        <f>IF(AND(E372&lt;&gt;"",COUNTIF($E$2:$E$800,E372)&gt;1),"DUPLICATE","")</f>
        <v/>
      </c>
    </row>
    <row r="373">
      <c r="AA373" s="5" t="n"/>
      <c r="AB373" s="5" t="n"/>
      <c r="AC373">
        <f>IF(AND(E373&lt;&gt;"",COUNTIF($E$2:$E$800,E373)&gt;1),"DUPLICATE","")</f>
        <v/>
      </c>
    </row>
    <row r="374">
      <c r="AA374" s="5" t="n"/>
      <c r="AB374" s="5" t="n"/>
      <c r="AC374">
        <f>IF(AND(E374&lt;&gt;"",COUNTIF($E$2:$E$800,E374)&gt;1),"DUPLICATE","")</f>
        <v/>
      </c>
    </row>
    <row r="375">
      <c r="AA375" s="5" t="n"/>
      <c r="AB375" s="5" t="n"/>
      <c r="AC375">
        <f>IF(AND(E375&lt;&gt;"",COUNTIF($E$2:$E$800,E375)&gt;1),"DUPLICATE","")</f>
        <v/>
      </c>
    </row>
    <row r="376">
      <c r="AA376" s="5" t="n"/>
      <c r="AB376" s="5" t="n"/>
      <c r="AC376">
        <f>IF(AND(E376&lt;&gt;"",COUNTIF($E$2:$E$800,E376)&gt;1),"DUPLICATE","")</f>
        <v/>
      </c>
    </row>
    <row r="377">
      <c r="AA377" s="5" t="n"/>
      <c r="AB377" s="5" t="n"/>
      <c r="AC377">
        <f>IF(AND(E377&lt;&gt;"",COUNTIF($E$2:$E$800,E377)&gt;1),"DUPLICATE","")</f>
        <v/>
      </c>
    </row>
    <row r="378">
      <c r="AA378" s="5" t="n"/>
      <c r="AB378" s="5" t="n"/>
      <c r="AC378">
        <f>IF(AND(E378&lt;&gt;"",COUNTIF($E$2:$E$800,E378)&gt;1),"DUPLICATE","")</f>
        <v/>
      </c>
    </row>
    <row r="379">
      <c r="AA379" s="5" t="n"/>
      <c r="AB379" s="5" t="n"/>
      <c r="AC379">
        <f>IF(AND(E379&lt;&gt;"",COUNTIF($E$2:$E$800,E379)&gt;1),"DUPLICATE","")</f>
        <v/>
      </c>
    </row>
    <row r="380">
      <c r="AA380" s="5" t="n"/>
      <c r="AB380" s="5" t="n"/>
      <c r="AC380">
        <f>IF(AND(E380&lt;&gt;"",COUNTIF($E$2:$E$800,E380)&gt;1),"DUPLICATE","")</f>
        <v/>
      </c>
    </row>
    <row r="381">
      <c r="AA381" s="5" t="n"/>
      <c r="AB381" s="5" t="n"/>
      <c r="AC381">
        <f>IF(AND(E381&lt;&gt;"",COUNTIF($E$2:$E$800,E381)&gt;1),"DUPLICATE","")</f>
        <v/>
      </c>
    </row>
    <row r="382">
      <c r="AA382" s="5" t="n"/>
      <c r="AB382" s="5" t="n"/>
      <c r="AC382">
        <f>IF(AND(E382&lt;&gt;"",COUNTIF($E$2:$E$800,E382)&gt;1),"DUPLICATE","")</f>
        <v/>
      </c>
    </row>
    <row r="383">
      <c r="AA383" s="5" t="n"/>
      <c r="AB383" s="5" t="n"/>
      <c r="AC383">
        <f>IF(AND(E383&lt;&gt;"",COUNTIF($E$2:$E$800,E383)&gt;1),"DUPLICATE","")</f>
        <v/>
      </c>
    </row>
    <row r="384">
      <c r="AA384" s="5" t="n"/>
      <c r="AB384" s="5" t="n"/>
      <c r="AC384">
        <f>IF(AND(E384&lt;&gt;"",COUNTIF($E$2:$E$800,E384)&gt;1),"DUPLICATE","")</f>
        <v/>
      </c>
    </row>
    <row r="385">
      <c r="AA385" s="5" t="n"/>
      <c r="AB385" s="5" t="n"/>
      <c r="AC385">
        <f>IF(AND(E385&lt;&gt;"",COUNTIF($E$2:$E$800,E385)&gt;1),"DUPLICATE","")</f>
        <v/>
      </c>
    </row>
    <row r="386">
      <c r="AA386" s="5" t="n"/>
      <c r="AB386" s="5" t="n"/>
      <c r="AC386">
        <f>IF(AND(E386&lt;&gt;"",COUNTIF($E$2:$E$800,E386)&gt;1),"DUPLICATE","")</f>
        <v/>
      </c>
    </row>
    <row r="387">
      <c r="AA387" s="5" t="n"/>
      <c r="AB387" s="5" t="n"/>
      <c r="AC387">
        <f>IF(AND(E387&lt;&gt;"",COUNTIF($E$2:$E$800,E387)&gt;1),"DUPLICATE","")</f>
        <v/>
      </c>
    </row>
    <row r="388">
      <c r="AA388" s="5" t="n"/>
      <c r="AB388" s="5" t="n"/>
      <c r="AC388">
        <f>IF(AND(E388&lt;&gt;"",COUNTIF($E$2:$E$800,E388)&gt;1),"DUPLICATE","")</f>
        <v/>
      </c>
    </row>
    <row r="389">
      <c r="AA389" s="5" t="n"/>
      <c r="AB389" s="5" t="n"/>
      <c r="AC389">
        <f>IF(AND(E389&lt;&gt;"",COUNTIF($E$2:$E$800,E389)&gt;1),"DUPLICATE","")</f>
        <v/>
      </c>
    </row>
    <row r="390">
      <c r="AA390" s="5" t="n"/>
      <c r="AB390" s="5" t="n"/>
      <c r="AC390">
        <f>IF(AND(E390&lt;&gt;"",COUNTIF($E$2:$E$800,E390)&gt;1),"DUPLICATE","")</f>
        <v/>
      </c>
    </row>
    <row r="391">
      <c r="AA391" s="5" t="n"/>
      <c r="AB391" s="5" t="n"/>
      <c r="AC391">
        <f>IF(AND(E391&lt;&gt;"",COUNTIF($E$2:$E$800,E391)&gt;1),"DUPLICATE","")</f>
        <v/>
      </c>
    </row>
    <row r="392">
      <c r="AA392" s="5" t="n"/>
      <c r="AB392" s="5" t="n"/>
      <c r="AC392">
        <f>IF(AND(E392&lt;&gt;"",COUNTIF($E$2:$E$800,E392)&gt;1),"DUPLICATE","")</f>
        <v/>
      </c>
    </row>
    <row r="393">
      <c r="AA393" s="5" t="n"/>
      <c r="AB393" s="5" t="n"/>
      <c r="AC393">
        <f>IF(AND(E393&lt;&gt;"",COUNTIF($E$2:$E$800,E393)&gt;1),"DUPLICATE","")</f>
        <v/>
      </c>
    </row>
    <row r="394">
      <c r="AA394" s="5" t="n"/>
      <c r="AB394" s="5" t="n"/>
      <c r="AC394">
        <f>IF(AND(E394&lt;&gt;"",COUNTIF($E$2:$E$800,E394)&gt;1),"DUPLICATE","")</f>
        <v/>
      </c>
    </row>
    <row r="395">
      <c r="AA395" s="5" t="n"/>
      <c r="AB395" s="5" t="n"/>
      <c r="AC395">
        <f>IF(AND(E395&lt;&gt;"",COUNTIF($E$2:$E$800,E395)&gt;1),"DUPLICATE","")</f>
        <v/>
      </c>
    </row>
    <row r="396">
      <c r="AA396" s="5" t="n"/>
      <c r="AB396" s="5" t="n"/>
      <c r="AC396">
        <f>IF(AND(E396&lt;&gt;"",COUNTIF($E$2:$E$800,E396)&gt;1),"DUPLICATE","")</f>
        <v/>
      </c>
    </row>
    <row r="397">
      <c r="AA397" s="5" t="n"/>
      <c r="AB397" s="5" t="n"/>
      <c r="AC397">
        <f>IF(AND(E397&lt;&gt;"",COUNTIF($E$2:$E$800,E397)&gt;1),"DUPLICATE","")</f>
        <v/>
      </c>
    </row>
    <row r="398">
      <c r="AA398" s="5" t="n"/>
      <c r="AB398" s="5" t="n"/>
      <c r="AC398">
        <f>IF(AND(E398&lt;&gt;"",COUNTIF($E$2:$E$800,E398)&gt;1),"DUPLICATE","")</f>
        <v/>
      </c>
    </row>
    <row r="399">
      <c r="AA399" s="5" t="n"/>
      <c r="AB399" s="5" t="n"/>
      <c r="AC399">
        <f>IF(AND(E399&lt;&gt;"",COUNTIF($E$2:$E$800,E399)&gt;1),"DUPLICATE","")</f>
        <v/>
      </c>
    </row>
    <row r="400">
      <c r="AA400" s="5" t="n"/>
      <c r="AB400" s="5" t="n"/>
      <c r="AC400">
        <f>IF(AND(E400&lt;&gt;"",COUNTIF($E$2:$E$800,E400)&gt;1),"DUPLICATE","")</f>
        <v/>
      </c>
    </row>
  </sheetData>
  <conditionalFormatting sqref="E2:E800">
    <cfRule type="expression" priority="1" dxfId="0">
      <formula>AND($E2&lt;&gt;"",COUNTIF($E$2:$E$800,$E2)&gt;1)</formula>
    </cfRule>
  </conditionalFormatting>
  <dataValidations count="5">
    <dataValidation sqref="B2:B800" showDropDown="0" showInputMessage="0" showErrorMessage="0" allowBlank="1" type="list">
      <formula1>"Open,Closed,Hidden"</formula1>
    </dataValidation>
    <dataValidation sqref="C2:C800" showDropDown="0" showInputMessage="0" showErrorMessage="0" allowBlank="1" type="list">
      <formula1>"Yes"</formula1>
    </dataValidation>
    <dataValidation sqref="D2:D800" showDropDown="0" showInputMessage="0" showErrorMessage="0" allowBlank="1" type="list">
      <formula1>"Scholarship,Internship"</formula1>
    </dataValidation>
    <dataValidation sqref="G2:G800" showDropDown="0" showInputMessage="0" showErrorMessage="0" allowBlank="1" type="list">
      <formula1>"Africa,Asia,Europe,North America,Latin America &amp; Caribbean,Oceania"</formula1>
    </dataValidation>
    <dataValidation sqref="K2:K800" showDropDown="0" showInputMessage="0" showErrorMessage="0" allowBlank="1" type="list">
      <formula1>"Full,Stipend,Partial"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
  <sheetViews>
    <sheetView topLeftCell="B1" workbookViewId="0">
      <pane ySplit="1" topLeftCell="A2" activePane="bottomLeft" state="frozen"/>
      <selection pane="bottomLeft" activeCell="D5" sqref="D5"/>
    </sheetView>
  </sheetViews>
  <sheetFormatPr baseColWidth="8" defaultRowHeight="14.4"/>
  <cols>
    <col width="55.44140625" customWidth="1" style="6" min="1" max="1"/>
    <col width="18" customWidth="1" style="6" min="2" max="4"/>
    <col width="50" customWidth="1" style="6" min="5" max="5"/>
    <col width="18" customWidth="1" style="6" min="6" max="7"/>
    <col width="30" customWidth="1" style="6" min="8" max="8"/>
    <col width="34" customWidth="1" style="6" min="9" max="9"/>
    <col width="26" customWidth="1" style="6" min="10" max="10"/>
  </cols>
  <sheetData>
    <row r="1">
      <c r="A1" s="2" t="inlineStr">
        <is>
          <t>Title</t>
        </is>
      </c>
      <c r="B1" s="2" t="inlineStr">
        <is>
          <t>Date</t>
        </is>
      </c>
      <c r="C1" s="2" t="inlineStr">
        <is>
          <t>Time</t>
        </is>
      </c>
      <c r="D1" s="2" t="inlineStr">
        <is>
          <t>Status</t>
        </is>
      </c>
      <c r="E1" s="2" t="inlineStr">
        <is>
          <t>Topic</t>
        </is>
      </c>
      <c r="F1" s="2" t="inlineStr">
        <is>
          <t>Speaker</t>
        </is>
      </c>
      <c r="G1" s="2" t="inlineStr">
        <is>
          <t>Attendees</t>
        </is>
      </c>
      <c r="H1" s="2" t="inlineStr">
        <is>
          <t>Register link</t>
        </is>
      </c>
      <c r="I1" s="2" t="inlineStr">
        <is>
          <t>Recording (YouTube link)</t>
        </is>
      </c>
      <c r="J1" s="2" t="inlineStr">
        <is>
          <t>Cover photo</t>
        </is>
      </c>
    </row>
    <row r="2">
      <c r="A2" t="inlineStr">
        <is>
          <t>EXAMPLE: How to win a fully funded Master's scholarship</t>
        </is>
      </c>
      <c r="B2" t="inlineStr">
        <is>
          <t>2026-11-20</t>
        </is>
      </c>
      <c r="C2" t="inlineStr">
        <is>
          <t>7:00 PM (Germany time)</t>
        </is>
      </c>
      <c r="D2" t="inlineStr">
        <is>
          <t>Draft</t>
        </is>
      </c>
      <c r="E2" t="inlineStr">
        <is>
          <t>What committees look for, how to write your SOP, live Q&amp;A</t>
        </is>
      </c>
      <c r="F2" t="inlineStr">
        <is>
          <t>Your name</t>
        </is>
      </c>
      <c r="H2" t="inlineStr">
        <is>
          <t>https://forms.gle/your-registration-form</t>
        </is>
      </c>
      <c r="J2" t="inlineStr">
        <is>
          <t>images/seminar-1.jpg</t>
        </is>
      </c>
    </row>
    <row r="3">
      <c r="B3" t="inlineStr">
        <is>
          <t>2026-11-21</t>
        </is>
      </c>
      <c r="C3" t="inlineStr">
        <is>
          <t>7:00 PM (BD time)</t>
        </is>
      </c>
      <c r="D3" t="inlineStr">
        <is>
          <t>Upcoming</t>
        </is>
      </c>
      <c r="E3" t="inlineStr">
        <is>
          <t>Higher Study Abroad</t>
        </is>
      </c>
      <c r="F3" t="inlineStr">
        <is>
          <t>Announced later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I3" sqref="I3"/>
    </sheetView>
  </sheetViews>
  <sheetFormatPr baseColWidth="8" defaultRowHeight="14.4"/>
  <cols>
    <col width="18" customWidth="1" style="6" min="1" max="2"/>
    <col width="44" customWidth="1" style="6" min="3" max="3"/>
    <col width="70" customWidth="1" style="6" min="4" max="4"/>
    <col width="30" customWidth="1" style="6" min="5" max="5"/>
    <col width="18" customWidth="1" style="6" min="6" max="6"/>
  </cols>
  <sheetData>
    <row r="1">
      <c r="A1" s="2" t="inlineStr">
        <is>
          <t>Date</t>
        </is>
      </c>
      <c r="B1" s="2" t="inlineStr">
        <is>
          <t>Category</t>
        </is>
      </c>
      <c r="C1" s="2" t="inlineStr">
        <is>
          <t>Title</t>
        </is>
      </c>
      <c r="D1" s="2" t="inlineStr">
        <is>
          <t>Summary</t>
        </is>
      </c>
      <c r="E1" s="2" t="inlineStr">
        <is>
          <t>Link</t>
        </is>
      </c>
      <c r="F1" s="2" t="inlineStr">
        <is>
          <t>Pinned</t>
        </is>
      </c>
    </row>
    <row r="2" ht="72" customHeight="1" s="6">
      <c r="A2" s="7" t="inlineStr">
        <is>
          <t>2026-10-18</t>
        </is>
      </c>
      <c r="B2" s="7" t="inlineStr">
        <is>
          <t>Closed</t>
        </is>
      </c>
      <c r="C2" s="7" t="inlineStr">
        <is>
          <t>Chevening 2027/28 applications have closed</t>
        </is>
      </c>
      <c r="D2" s="7" t="inlineStr">
        <is>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is>
      </c>
      <c r="E2" s="7" t="inlineStr">
        <is>
          <t>https://www.chevening.org/apply</t>
        </is>
      </c>
      <c r="F2" s="7" t="n"/>
    </row>
    <row r="3" ht="72" customHeight="1" s="6">
      <c r="A3" s="7" t="inlineStr">
        <is>
          <t>2026-10-18</t>
        </is>
      </c>
      <c r="B3" s="7" t="inlineStr">
        <is>
          <t>Upcoming</t>
        </is>
      </c>
      <c r="C3" s="7" t="inlineStr">
        <is>
          <t>Stipendium Hungaricum 2027/28: applications expected to open in November</t>
        </is>
      </c>
      <c r="D3" s="7" t="inlineStr">
        <is>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is>
      </c>
      <c r="E3" s="7" t="inlineStr">
        <is>
          <t>https://stipendiumhungaricum.hu</t>
        </is>
      </c>
      <c r="F3" s="7" t="n"/>
    </row>
    <row r="4" ht="72" customHeight="1" s="6">
      <c r="A4" s="7" t="inlineStr">
        <is>
          <t>2026-10-18</t>
        </is>
      </c>
      <c r="B4" s="7" t="inlineStr">
        <is>
          <t>Upcoming</t>
        </is>
      </c>
      <c r="C4" s="7" t="inlineStr">
        <is>
          <t>Turkiye Burslari 2027: expected application window 10 January to 20 February</t>
        </is>
      </c>
      <c r="D4" s="7" t="inlineStr">
        <is>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is>
      </c>
      <c r="E4" s="7" t="inlineStr">
        <is>
          <t>https://turkiyeburslari.gov.tr</t>
        </is>
      </c>
      <c r="F4" s="7" t="n"/>
    </row>
    <row r="5" ht="57.6" customHeight="1" s="6">
      <c r="A5" s="7" t="inlineStr">
        <is>
          <t>2026-10-18</t>
        </is>
      </c>
      <c r="B5" s="7" t="inlineStr">
        <is>
          <t>Safety tip</t>
        </is>
      </c>
      <c r="C5" s="7" t="inlineStr">
        <is>
          <t>Real scholarships never ask you to pay to apply</t>
        </is>
      </c>
      <c r="D5" s="7" t="inlineStr">
        <is>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is>
      </c>
      <c r="E5" s="7" t="n"/>
      <c r="F5" s="7" t="n"/>
    </row>
    <row r="6" ht="57.6" customHeight="1" s="6">
      <c r="A6" s="7" t="inlineStr">
        <is>
          <t>2026-10-18</t>
        </is>
      </c>
      <c r="B6" s="7" t="inlineStr">
        <is>
          <t>Tip</t>
        </is>
      </c>
      <c r="C6" s="7" t="inlineStr">
        <is>
          <t>Start your SOP now for the January and February deadlines</t>
        </is>
      </c>
      <c r="D6" s="7" t="inlineStr">
        <is>
          <t>A strong Statement of Purpose takes time. A Daily Star education discussion advised starting five to six months before the deadline so that peers and mentors can review it several times. Begin your first draft this month, then ask someone to read it.</t>
        </is>
      </c>
      <c r="E6" s="7" t="inlineStr">
        <is>
          <t>materials.html</t>
        </is>
      </c>
      <c r="F6" s="7" t="n"/>
    </row>
    <row r="7" ht="43.2" customHeight="1" s="6">
      <c r="A7" s="7" t="inlineStr">
        <is>
          <t>2026-10-18</t>
        </is>
      </c>
      <c r="B7" s="7" t="inlineStr">
        <is>
          <t>New on UniPilot</t>
        </is>
      </c>
      <c r="C7" s="7" t="inlineStr">
        <is>
          <t>New: Free Materials page</t>
        </is>
      </c>
      <c r="D7" s="7" t="inlineStr">
        <is>
          <t>Free SOP and CV templates, checklists and guides are now in one place. Each scholarship page also shows the materials that match it. (Publish this item only after you have added at least three materials.)</t>
        </is>
      </c>
      <c r="E7" s="7" t="inlineStr">
        <is>
          <t>materials.html</t>
        </is>
      </c>
      <c r="F7" s="7" t="n"/>
    </row>
  </sheetData>
  <pageMargins left="0.75" right="0.75" top="1" bottom="1" header="0.5" footer="0.5"/>
  <pageSetup orientation="portrait"/>
</worksheet>
</file>

<file path=xl/worksheets/sheet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8" defaultRowHeight="14.4"/>
  <cols>
    <col width="34" customWidth="1" style="6" min="1" max="1"/>
    <col width="40" customWidth="1" style="6" min="2" max="2"/>
    <col width="60" customWidth="1" style="6" min="3" max="3"/>
    <col width="18" customWidth="1" style="6" min="4" max="4"/>
  </cols>
  <sheetData>
    <row r="1">
      <c r="A1" s="2" t="inlineStr">
        <is>
          <t>YouTube</t>
        </is>
      </c>
      <c r="B1" s="2" t="inlineStr">
        <is>
          <t>Title</t>
        </is>
      </c>
      <c r="C1" s="2" t="inlineStr">
        <is>
          <t>Description</t>
        </is>
      </c>
      <c r="D1" s="2" t="inlineStr">
        <is>
          <t>Category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6"/>
  <sheetViews>
    <sheetView workbookViewId="0">
      <pane ySplit="1" topLeftCell="A2" activePane="bottomLeft" state="frozen"/>
      <selection pane="bottomLeft" activeCell="E14" sqref="E14"/>
    </sheetView>
  </sheetViews>
  <sheetFormatPr baseColWidth="8" defaultRowHeight="14.4"/>
  <cols>
    <col width="18" customWidth="1" style="6" min="1" max="2"/>
    <col width="30" customWidth="1" style="6" min="3" max="3"/>
    <col width="80" customWidth="1" style="6" min="4" max="4"/>
    <col width="18" customWidth="1" style="6" min="5" max="7"/>
  </cols>
  <sheetData>
    <row r="1">
      <c r="A1" s="2" t="inlineStr">
        <is>
          <t>Name</t>
        </is>
      </c>
      <c r="B1" s="2" t="inlineStr">
        <is>
          <t>Country</t>
        </is>
      </c>
      <c r="C1" s="2" t="inlineStr">
        <is>
          <t>Result</t>
        </is>
      </c>
      <c r="D1" s="2" t="inlineStr">
        <is>
          <t>Review</t>
        </is>
      </c>
      <c r="E1" s="2" t="inlineStr">
        <is>
          <t>Rating</t>
        </is>
      </c>
      <c r="F1" s="2" t="inlineStr">
        <is>
          <t>Photo</t>
        </is>
      </c>
      <c r="G1" s="2" t="inlineStr">
        <is>
          <t>Approved</t>
        </is>
      </c>
    </row>
    <row r="2">
      <c r="A2" t="inlineStr">
        <is>
          <t>Fatema</t>
        </is>
      </c>
      <c r="B2" t="inlineStr">
        <is>
          <t>Bangladesh</t>
        </is>
      </c>
      <c r="C2" t="inlineStr">
        <is>
          <t>SOP review</t>
        </is>
      </c>
      <c r="D2" t="inlineStr">
        <is>
          <t>The guidance I received from you was truly helpful. You reviewed all the information in great detail, which helped me prepare a well-structured and polished SOP. Thank you for your thorough guidance and support.</t>
        </is>
      </c>
      <c r="E2" t="n">
        <v>5</v>
      </c>
      <c r="G2" t="inlineStr">
        <is>
          <t>Yes</t>
        </is>
      </c>
    </row>
    <row r="3">
      <c r="A3" t="inlineStr">
        <is>
          <t>Fariha</t>
        </is>
      </c>
      <c r="B3" t="inlineStr">
        <is>
          <t>Bangladesh</t>
        </is>
      </c>
      <c r="C3" t="inlineStr">
        <is>
          <t>SOP review</t>
        </is>
      </c>
      <c r="D3" t="inlineStr">
        <is>
          <t xml:space="preserve">I was worried my SOP didn’t show my story clearly. Unipilot Global gave me detailed feedback on it. After the review, my SOP was much stronger, and I also won the EMJM scholarship. </t>
        </is>
      </c>
      <c r="E3" t="n">
        <v>5</v>
      </c>
      <c r="G3" t="inlineStr">
        <is>
          <t>Yes</t>
        </is>
      </c>
    </row>
    <row r="4">
      <c r="A4" t="inlineStr">
        <is>
          <t>Esha</t>
        </is>
      </c>
      <c r="B4" t="inlineStr">
        <is>
          <t>Bangladesh</t>
        </is>
      </c>
      <c r="C4" t="inlineStr">
        <is>
          <t>Seminar</t>
        </is>
      </c>
      <c r="D4" t="inlineStr">
        <is>
          <t>I joined the free seminar. They explained all the details clearly.</t>
        </is>
      </c>
      <c r="E4" t="n">
        <v>5</v>
      </c>
      <c r="G4" t="inlineStr">
        <is>
          <t>Yes</t>
        </is>
      </c>
    </row>
    <row r="5">
      <c r="A5" t="inlineStr">
        <is>
          <t>Mohammed Abbas</t>
        </is>
      </c>
      <c r="B5" t="inlineStr">
        <is>
          <t>Pakistan</t>
        </is>
      </c>
      <c r="C5" t="inlineStr">
        <is>
          <t>CV and SOP</t>
        </is>
      </c>
      <c r="D5" t="inlineStr">
        <is>
          <t xml:space="preserve">I took one to one session. It was very helpful for me. </t>
        </is>
      </c>
      <c r="E5" t="n">
        <v>5</v>
      </c>
      <c r="G5" t="inlineStr">
        <is>
          <t>Yes</t>
        </is>
      </c>
    </row>
    <row r="6">
      <c r="A6" t="inlineStr">
        <is>
          <t>Edith</t>
        </is>
      </c>
      <c r="B6" t="inlineStr">
        <is>
          <t xml:space="preserve">South Africa </t>
        </is>
      </c>
      <c r="C6" t="inlineStr">
        <is>
          <t>Interview Prep</t>
        </is>
      </c>
      <c r="D6" t="inlineStr">
        <is>
          <t xml:space="preserve">The session was really help me to win a full funded scholarship. </t>
        </is>
      </c>
      <c r="E6" t="n">
        <v>5</v>
      </c>
      <c r="G6" t="inlineStr">
        <is>
          <t>Yes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
  <sheetViews>
    <sheetView workbookViewId="0">
      <selection activeCell="A1" sqref="A1"/>
    </sheetView>
  </sheetViews>
  <sheetFormatPr baseColWidth="8" defaultRowHeight="14.4"/>
  <cols>
    <col width="38" customWidth="1" style="6" min="1" max="1"/>
    <col width="12" customWidth="1" style="6" min="2" max="2"/>
    <col width="50" customWidth="1" style="6" min="3" max="3"/>
    <col width="44" customWidth="1" style="6" min="4" max="4"/>
    <col width="40" customWidth="1" style="6" min="5" max="5"/>
    <col width="16" customWidth="1" style="6" min="6" max="6"/>
    <col width="12" customWidth="1" style="6" min="7" max="7"/>
    <col width="10" customWidth="1" style="6" min="8" max="8"/>
    <col width="12" customWidth="1" style="6" min="9" max="9"/>
  </cols>
  <sheetData>
    <row r="1">
      <c r="A1" t="inlineStr">
        <is>
          <t>Title</t>
        </is>
      </c>
      <c r="B1" t="inlineStr">
        <is>
          <t>Type</t>
        </is>
      </c>
      <c r="C1" t="inlineStr">
        <is>
          <t>Description</t>
        </is>
      </c>
      <c r="D1" t="inlineStr">
        <is>
          <t>Link</t>
        </is>
      </c>
      <c r="E1" t="inlineStr">
        <is>
          <t>Related scholarships</t>
        </is>
      </c>
      <c r="F1" t="inlineStr">
        <is>
          <t>Category</t>
        </is>
      </c>
      <c r="G1" t="inlineStr">
        <is>
          <t>Added on</t>
        </is>
      </c>
      <c r="H1" t="inlineStr">
        <is>
          <t>Featured</t>
        </is>
      </c>
      <c r="I1" t="inlineStr">
        <is>
          <t>Status</t>
        </is>
      </c>
    </row>
    <row r="2">
      <c r="A2" t="inlineStr">
        <is>
          <t>EXAMPLE: SOP template for scholarships</t>
        </is>
      </c>
      <c r="B2" t="inlineStr">
        <is>
          <t>Template</t>
        </is>
      </c>
      <c r="C2" t="inlineStr">
        <is>
          <t>A simple structure for a Statement of Purpose, with sample paragraphs.</t>
        </is>
      </c>
      <c r="D2" t="inlineStr">
        <is>
          <t>https://drive.google.com/your-share-link</t>
        </is>
      </c>
      <c r="E2" t="inlineStr">
        <is>
          <t>All</t>
        </is>
      </c>
      <c r="F2" t="inlineStr">
        <is>
          <t>Applications</t>
        </is>
      </c>
      <c r="G2" t="inlineStr">
        <is>
          <t>2026-10-20</t>
        </is>
      </c>
      <c r="H2" t="inlineStr">
        <is>
          <t>Yes</t>
        </is>
      </c>
      <c r="I2" t="inlineStr">
        <is>
          <t>Draft</t>
        </is>
      </c>
    </row>
    <row r="3">
      <c r="A3" t="inlineStr">
        <is>
          <t>EXAMPLE: DAAD application checklist</t>
        </is>
      </c>
      <c r="B3" t="inlineStr">
        <is>
          <t>Checklist</t>
        </is>
      </c>
      <c r="C3" t="inlineStr">
        <is>
          <t>Every document and step, in order.</t>
        </is>
      </c>
      <c r="D3" t="inlineStr">
        <is>
          <t>https://drive.google.com/your-share-link</t>
        </is>
      </c>
      <c r="E3" t="inlineStr">
        <is>
          <t>DAAD | Mastercard Foundation Scholars Program</t>
        </is>
      </c>
      <c r="F3" t="inlineStr">
        <is>
          <t>Applications</t>
        </is>
      </c>
      <c r="G3" t="inlineStr">
        <is>
          <t>2026-10-20</t>
        </is>
      </c>
      <c r="I3" t="inlineStr">
        <is>
          <t>Draft</t>
        </is>
      </c>
    </row>
  </sheetData>
  <dataValidations count="2">
    <dataValidation sqref="B2:B500" showDropDown="0" showInputMessage="0" showErrorMessage="0" allowBlank="1" type="list">
      <formula1>"Guide,Template,Checklist,Sample,Video,Course"</formula1>
    </dataValidation>
    <dataValidation sqref="I2:I500" showDropDown="0" showInputMessage="0" showErrorMessage="0" allowBlank="1" type="list">
      <formula1>"Published,Hidden,Draft"</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3"/>
  <sheetViews>
    <sheetView tabSelected="1" workbookViewId="0">
      <pane ySplit="1" topLeftCell="A2" activePane="bottomLeft" state="frozen"/>
      <selection pane="bottomLeft" activeCell="E6" sqref="E6"/>
    </sheetView>
  </sheetViews>
  <sheetFormatPr baseColWidth="8" defaultRowHeight="14.4"/>
  <cols>
    <col width="26" customWidth="1" style="6" min="1" max="1"/>
    <col width="24" customWidth="1" style="6" min="2" max="3"/>
    <col width="22" customWidth="1" style="6" min="3" max="3"/>
    <col width="60" customWidth="1" style="6" min="4" max="4"/>
    <col width="16" customWidth="1" style="6" min="5" max="5"/>
    <col width="32" customWidth="1" style="6" min="6" max="6"/>
    <col width="34" customWidth="1" style="6" min="7" max="7"/>
    <col width="34" customWidth="1" style="6" min="8" max="8"/>
    <col width="40" customWidth="1" style="6" min="9" max="9"/>
    <col width="22" customWidth="1" style="6" min="10" max="10"/>
    <col width="18" customWidth="1" style="6" min="11" max="11"/>
    <col width="28" customWidth="1" style="6" min="12" max="12"/>
    <col width="10" customWidth="1" style="6" min="13" max="13"/>
    <col width="10" customWidth="1" style="6" min="14" max="14"/>
  </cols>
  <sheetData>
    <row r="1">
      <c r="A1" s="2" t="inlineStr">
        <is>
          <t>Field</t>
        </is>
      </c>
      <c r="B1" s="2" t="inlineStr">
        <is>
          <t>Name</t>
        </is>
      </c>
      <c r="C1" s="2" t="inlineStr">
        <is>
          <t>Role</t>
        </is>
      </c>
      <c r="D1" s="2" t="inlineStr">
        <is>
          <t>About</t>
        </is>
      </c>
      <c r="E1" s="2" t="inlineStr">
        <is>
          <t>Photo</t>
        </is>
      </c>
      <c r="F1" s="2" t="inlineStr">
        <is>
          <t>Tagline</t>
        </is>
      </c>
      <c r="G1" s="2" t="inlineStr">
        <is>
          <t>Scholarships</t>
        </is>
      </c>
      <c r="H1" s="2" t="inlineStr">
        <is>
          <t>Education</t>
        </is>
      </c>
      <c r="I1" s="2" t="inlineStr">
        <is>
          <t>Highlights</t>
        </is>
      </c>
      <c r="J1" s="2" t="inlineStr">
        <is>
          <t>Languages</t>
        </is>
      </c>
      <c r="K1" s="2" t="inlineStr">
        <is>
          <t>Based in</t>
        </is>
      </c>
      <c r="L1" s="2" t="inlineStr">
        <is>
          <t>LinkedIn</t>
        </is>
      </c>
      <c r="M1" s="2" t="inlineStr">
        <is>
          <t>Featured</t>
        </is>
      </c>
      <c r="N1" s="2" t="inlineStr">
        <is>
          <t>Status</t>
        </is>
      </c>
    </row>
    <row r="2">
      <c r="A2" t="inlineStr">
        <is>
          <t>Engineering &amp; Technology</t>
        </is>
      </c>
      <c r="B2" t="inlineStr">
        <is>
          <t>Md Abdur Rahman</t>
        </is>
      </c>
      <c r="C2" t="inlineStr">
        <is>
          <t xml:space="preserve">Consultant </t>
        </is>
      </c>
      <c r="D2" t="inlineStr">
        <is>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is>
      </c>
      <c r="E2" t="inlineStr">
        <is>
          <t>ar1.jpeg</t>
        </is>
      </c>
      <c r="F2" t="inlineStr">
        <is>
          <t>Erasmus Mundus and MSCA scholarship winner</t>
        </is>
      </c>
      <c r="G2" t="inlineStr">
        <is>
          <t>Erasmus Mundus Joint Master | Marie Curie MSCA</t>
        </is>
      </c>
    </row>
    <row r="3">
      <c r="A3" t="inlineStr">
        <is>
          <t>Science &amp; Health</t>
        </is>
      </c>
      <c r="B3" t="inlineStr">
        <is>
          <t>EXAMPLE: Your Mentor Name</t>
        </is>
      </c>
      <c r="C3" t="inlineStr">
        <is>
          <t>Mentor, PhD researcher</t>
        </is>
      </c>
      <c r="D3" t="inlineStr">
        <is>
          <t>Short story: what they studied, which scholarships they won, and how they help students.</t>
        </is>
      </c>
      <c r="F3" t="inlineStr">
        <is>
          <t>One line that sells this mentor</t>
        </is>
      </c>
      <c r="G3" t="inlineStr">
        <is>
          <t>DAAD | Chevening</t>
        </is>
      </c>
      <c r="H3" t="inlineStr">
        <is>
          <t>BSc, Your University | MSc, Your University</t>
        </is>
      </c>
      <c r="I3" t="inlineStr">
        <is>
          <t>Won DAAD for a Master in Germany | Helped 30 students with SOPs</t>
        </is>
      </c>
      <c r="J3" t="inlineStr">
        <is>
          <t>English | Bangla</t>
        </is>
      </c>
      <c r="K3" t="inlineStr">
        <is>
          <t>Berlin, Germany</t>
        </is>
      </c>
      <c r="L3" t="inlineStr">
        <is>
          <t>https://www.linkedin.com/in/example</t>
        </is>
      </c>
      <c r="N3" t="inlineStr">
        <is>
          <t>Hidden</t>
        </is>
      </c>
    </row>
  </sheetData>
  <dataValidations count="1">
    <dataValidation sqref="N2:N300" showDropDown="0" showInputMessage="0" showErrorMessage="0" allowBlank="1" type="list">
      <formula1>"Published,Hidden"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8" defaultRowHeight="14.4"/>
  <cols>
    <col width="20" customWidth="1" style="6" min="1" max="1"/>
    <col width="28" customWidth="1" style="6" min="2" max="2"/>
    <col width="30" customWidth="1" style="6" min="3" max="3"/>
    <col width="60" customWidth="1" style="6" min="4" max="4"/>
    <col width="40" customWidth="1" style="6" min="5" max="5"/>
    <col width="60" customWidth="1" style="6" min="6" max="6"/>
    <col width="16" customWidth="1" style="6" min="7" max="7"/>
  </cols>
  <sheetData>
    <row r="1">
      <c r="A1" s="2" t="inlineStr">
        <is>
          <t>Country</t>
        </is>
      </c>
      <c r="B1" s="2" t="inlineStr">
        <is>
          <t>Visa type</t>
        </is>
      </c>
      <c r="C1" s="2" t="inlineStr">
        <is>
          <t>Processing time</t>
        </is>
      </c>
      <c r="D1" s="2" t="inlineStr">
        <is>
          <t>Key documents</t>
        </is>
      </c>
      <c r="E1" s="2" t="inlineStr">
        <is>
          <t>Official link</t>
        </is>
      </c>
      <c r="F1" s="2" t="inlineStr">
        <is>
          <t>Notes</t>
        </is>
      </c>
      <c r="G1" s="2" t="inlineStr">
        <is>
          <t>Last checked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C21" sqref="C21"/>
    </sheetView>
  </sheetViews>
  <sheetFormatPr baseColWidth="8" defaultRowHeight="14.4"/>
  <cols>
    <col width="22" customWidth="1" style="6" min="1" max="1"/>
    <col width="34" customWidth="1" style="6" min="2" max="2"/>
    <col width="80" customWidth="1" style="6" min="3" max="3"/>
  </cols>
  <sheetData>
    <row r="1">
      <c r="A1" s="2" t="inlineStr">
        <is>
          <t>Key</t>
        </is>
      </c>
      <c r="B1" s="2" t="inlineStr">
        <is>
          <t>Value</t>
        </is>
      </c>
      <c r="C1" s="2" t="inlineStr">
        <is>
          <t>Notes</t>
        </is>
      </c>
    </row>
    <row r="2">
      <c r="A2" t="inlineStr">
        <is>
          <t>students_base</t>
        </is>
      </c>
      <c r="B2" t="n">
        <v>3000</v>
      </c>
      <c r="C2" t="inlineStr">
        <is>
          <t>Students already guided. The website adds +1 per submitted form (needs the email script).</t>
        </is>
      </c>
    </row>
    <row r="3">
      <c r="A3" t="inlineStr">
        <is>
          <t>seminars_held</t>
        </is>
      </c>
      <c r="B3" t="n">
        <v>20</v>
      </c>
      <c r="C3" t="inlineStr">
        <is>
          <t>Free seminars held so far (optional)</t>
        </is>
      </c>
    </row>
    <row r="4">
      <c r="A4" t="inlineStr">
        <is>
          <t>years_experience</t>
        </is>
      </c>
      <c r="C4" t="inlineStr">
        <is>
          <t>e.g. 5 (shown only if filled)</t>
        </is>
      </c>
    </row>
    <row r="5">
      <c r="A5" t="inlineStr">
        <is>
          <t>whatsapp</t>
        </is>
      </c>
      <c r="B5" t="inlineStr">
        <is>
          <t>4915214232206</t>
        </is>
      </c>
      <c r="C5" t="inlineStr">
        <is>
          <t>Digits only with country code</t>
        </is>
      </c>
    </row>
    <row r="6">
      <c r="A6" t="inlineStr">
        <is>
          <t>youtube_channel</t>
        </is>
      </c>
      <c r="C6" t="inlineStr">
        <is>
          <t>Your channel link</t>
        </is>
      </c>
    </row>
    <row r="7">
      <c r="A7" t="inlineStr">
        <is>
          <t>default_video</t>
        </is>
      </c>
      <c r="C7" t="inlineStr">
        <is>
          <t>General "how to apply" video link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2026-10-17T07:57:11Z</dcterms:created>
  <dcterms:modified xmlns:dcterms="http://purl.org/dc/terms/" xmlns:xsi="http://www.w3.org/2001/XMLSchema-instance" xsi:type="dcterms:W3CDTF">2026-10-18T15:05:01Z</dcterms:modified>
  <cp:lastModifiedBy>HP</cp:lastModifiedBy>
</cp:coreProperties>
</file>