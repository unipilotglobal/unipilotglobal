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Opportunities" sheetId="2" state="visible" r:id="rId2"/>
    <sheet xmlns:r="http://schemas.openxmlformats.org/officeDocument/2006/relationships" name="Seminars" sheetId="3" state="visible" r:id="rId3"/>
    <sheet xmlns:r="http://schemas.openxmlformats.org/officeDocument/2006/relationships" name="News" sheetId="4" state="visible" r:id="rId4"/>
    <sheet xmlns:r="http://schemas.openxmlformats.org/officeDocument/2006/relationships" name="Videos" sheetId="5" state="visible" r:id="rId5"/>
    <sheet xmlns:r="http://schemas.openxmlformats.org/officeDocument/2006/relationships" name="Reviews" sheetId="6" state="visible" r:id="rId6"/>
    <sheet xmlns:r="http://schemas.openxmlformats.org/officeDocument/2006/relationships" name="Experts" sheetId="7" state="visible" r:id="rId7"/>
    <sheet xmlns:r="http://schemas.openxmlformats.org/officeDocument/2006/relationships" name="Visa" sheetId="8" state="visible" r:id="rId8"/>
    <sheet xmlns:r="http://schemas.openxmlformats.org/officeDocument/2006/relationships" name="Settings" sheetId="9" state="visible" r:id="rId9"/>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color rgb="000B1B34"/>
      <sz val="16"/>
    </font>
    <font>
      <b val="1"/>
      <color rgb="00FFFFFF"/>
    </font>
  </fonts>
  <fills count="3">
    <fill>
      <patternFill/>
    </fill>
    <fill>
      <patternFill patternType="gray125"/>
    </fill>
    <fill>
      <patternFill patternType="solid">
        <fgColor rgb="000B1B3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cellXfs>
  <cellStyles count="1">
    <cellStyle name="Normal" xfId="0" builtinId="0" hidden="0"/>
  </cellStyles>
  <dxfs count="1">
    <dxf>
      <font>
        <b val="1"/>
        <color rgb="009B1C1C"/>
      </font>
      <fill>
        <patternFill patternType="solid">
          <fgColor rgb="00F8B4B4"/>
          <bgColor rgb="00F8B4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50" customWidth="1" min="1" max="1"/>
  </cols>
  <sheetData>
    <row r="1">
      <c r="A1" s="1" t="inlineStr">
        <is>
          <t>UNIPILOT GLOBAL: your website's content file</t>
        </is>
      </c>
    </row>
    <row r="2"/>
    <row r="3">
      <c r="A3" t="inlineStr">
        <is>
          <t>HOW IT WORKS WITH GITHUB</t>
        </is>
      </c>
    </row>
    <row r="4">
      <c r="A4" t="inlineStr">
        <is>
          <t>This Excel file lives in your website's data folder on GitHub (data/content.xlsx).</t>
        </is>
      </c>
    </row>
    <row r="5">
      <c r="A5" t="inlineStr">
        <is>
          <t>Edit it on your computer, then upload it to GitHub again (replace the old file). The website reads it automatically, so everything you changed goes live in a few minutes. No coding.</t>
        </is>
      </c>
    </row>
    <row r="6"/>
    <row r="7">
      <c r="A7" t="inlineStr">
        <is>
          <t>ADD A NEW SCHOLARSHIP OR INTERNSHIP</t>
        </is>
      </c>
    </row>
    <row r="8">
      <c r="A8" t="inlineStr">
        <is>
          <t>1. Open the tab 'Opportunities'. Scroll to the first empty row.</t>
        </is>
      </c>
    </row>
    <row r="9">
      <c r="A9" t="inlineStr">
        <is>
          <t>2. Fill: Type (Scholarship or Internship), Name, Sponsor, Region, Levels, Award, Deadline, Eligibility.</t>
        </is>
      </c>
    </row>
    <row r="10">
      <c r="A10" t="inlineStr">
        <is>
          <t>3. Optional but powerful: YouTube (video link), Expert tips (separate tips with the | symbol), Price, Official link, Added on (today's date).</t>
        </is>
      </c>
    </row>
    <row r="11">
      <c r="A11" t="inlineStr">
        <is>
          <t>4. Leave Subjects, Host countries and Tags empty if unsure. The website works them out from the text.</t>
        </is>
      </c>
    </row>
    <row r="12">
      <c r="A12" t="inlineStr">
        <is>
          <t>5. Save the file and upload it to GitHub (data folder, replace content.xlsx).</t>
        </is>
      </c>
    </row>
    <row r="13"/>
    <row r="14">
      <c r="A14" t="inlineStr">
        <is>
          <t>SAME NAME TWICE? The website keeps ONE card per name. If you add a scholarship whose Name already exists, the newer row updates the older one (filled cells replace old ones, and Levels are combined).</t>
        </is>
      </c>
    </row>
    <row r="15">
      <c r="A15" t="inlineStr">
        <is>
          <t>The last column 'Duplicate?' and a red Name cell warn you when a name appears twice.</t>
        </is>
      </c>
    </row>
    <row r="16"/>
    <row r="17">
      <c r="A17" t="inlineStr">
        <is>
          <t>CLOSE OR HIDE: Status = Closed (stays, marked Closed) or Hidden (removed from the site). FEATURE: Featured = Yes.</t>
        </is>
      </c>
    </row>
    <row r="18"/>
    <row r="19">
      <c r="A19" t="inlineStr">
        <is>
          <t>OTHER TABS</t>
        </is>
      </c>
    </row>
    <row r="20">
      <c r="A20" t="inlineStr">
        <is>
          <t>Seminars: add each free seminar. Status = Upcoming, Past or Draft (Draft is not shown). Add a Cover photo (see the tab).</t>
        </is>
      </c>
    </row>
    <row r="21">
      <c r="A21" t="inlineStr">
        <is>
          <t>News: headline, category, summary. Pinned = Yes keeps it on top.</t>
        </is>
      </c>
    </row>
    <row r="22">
      <c r="A22" t="inlineStr">
        <is>
          <t>Videos: YouTube links for free guides.</t>
        </is>
      </c>
    </row>
    <row r="23">
      <c r="A23" t="inlineStr">
        <is>
          <t>Reviews: ONLY real student reviews you approved. Approved = Yes shows it on the website.</t>
        </is>
      </c>
    </row>
    <row r="24">
      <c r="A24" t="inlineStr">
        <is>
          <t>Experts: your field experts (Field, Name, Role, About, Photo).  Visa: add a country guide (Country, Visa type, Processing time as shown on the official site, Key documents separated by |, Official link, Notes, Last checked). Countries you add appear in the Visa &amp; Travel page.</t>
        </is>
      </c>
    </row>
    <row r="25">
      <c r="A25" t="inlineStr">
        <is>
          <t>Settings: WhatsApp, counter start (3000), years of experience, etc.</t>
        </is>
      </c>
    </row>
    <row r="26"/>
    <row r="27">
      <c r="A27" t="inlineStr">
        <is>
          <t>FORMATS: Levels: Bachelor | Master | PhD | Master, PhD.  Funding: Full | Stipend | Partial.  Documents: separate with |  e.g. Transcript | CV | 2 reference letters.  Dates: 2026-11-15 or a normal Excel date.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0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18" customWidth="1" min="3" max="3"/>
    <col width="18" customWidth="1" min="4" max="4"/>
    <col width="42" customWidth="1" min="5" max="5"/>
    <col width="30" customWidth="1" min="6" max="6"/>
    <col width="18" customWidth="1" min="7" max="7"/>
    <col width="22" customWidth="1" min="8" max="8"/>
    <col width="18" customWidth="1" min="9" max="9"/>
    <col width="26" customWidth="1" min="10" max="10"/>
    <col width="18" customWidth="1" min="11" max="11"/>
    <col width="40" customWidth="1" min="12" max="12"/>
    <col width="28" customWidth="1" min="13" max="13"/>
    <col width="48" customWidth="1" min="14" max="14"/>
    <col width="30" customWidth="1" min="15" max="15"/>
    <col width="32" customWidth="1" min="16" max="16"/>
    <col width="50" customWidth="1" min="17" max="17"/>
    <col width="50" customWidth="1" min="18" max="18"/>
    <col width="40" customWidth="1" min="19" max="19"/>
    <col width="40" customWidth="1" min="20" max="20"/>
    <col width="50" customWidth="1" min="21" max="21"/>
    <col width="30" customWidth="1" min="22" max="22"/>
    <col width="18" customWidth="1" min="23" max="23"/>
    <col width="18" customWidth="1" min="24" max="24"/>
    <col width="18" customWidth="1" min="25" max="25"/>
    <col width="18" customWidth="1" min="26" max="26"/>
    <col width="18" customWidth="1" min="27" max="27"/>
    <col width="18" customWidth="1" min="28" max="28"/>
    <col width="14" customWidth="1" min="29" max="29"/>
  </cols>
  <sheetData>
    <row r="1">
      <c r="A1" s="2" t="inlineStr">
        <is>
          <t>ID</t>
        </is>
      </c>
      <c r="B1" s="2" t="inlineStr">
        <is>
          <t>Status</t>
        </is>
      </c>
      <c r="C1" s="2" t="inlineStr">
        <is>
          <t>Featured</t>
        </is>
      </c>
      <c r="D1" s="2" t="inlineStr">
        <is>
          <t>Type</t>
        </is>
      </c>
      <c r="E1" s="2" t="inlineStr">
        <is>
          <t>Name</t>
        </is>
      </c>
      <c r="F1" s="2" t="inlineStr">
        <is>
          <t>Sponsor</t>
        </is>
      </c>
      <c r="G1" s="2" t="inlineStr">
        <is>
          <t>Region</t>
        </is>
      </c>
      <c r="H1" s="2" t="inlineStr">
        <is>
          <t>Host countries</t>
        </is>
      </c>
      <c r="I1" s="2" t="inlineStr">
        <is>
          <t>Levels</t>
        </is>
      </c>
      <c r="J1" s="2" t="inlineStr">
        <is>
          <t>Subjects</t>
        </is>
      </c>
      <c r="K1" s="2" t="inlineStr">
        <is>
          <t>Funding</t>
        </is>
      </c>
      <c r="L1" s="2" t="inlineStr">
        <is>
          <t>Award</t>
        </is>
      </c>
      <c r="M1" s="2" t="inlineStr">
        <is>
          <t>Deadline</t>
        </is>
      </c>
      <c r="N1" s="2" t="inlineStr">
        <is>
          <t>Eligibility</t>
        </is>
      </c>
      <c r="O1" s="2" t="inlineStr">
        <is>
          <t>Effort</t>
        </is>
      </c>
      <c r="P1" s="2" t="inlineStr">
        <is>
          <t>Best for</t>
        </is>
      </c>
      <c r="Q1" s="2" t="inlineStr">
        <is>
          <t>Description</t>
        </is>
      </c>
      <c r="R1" s="2" t="inlineStr">
        <is>
          <t>Documents</t>
        </is>
      </c>
      <c r="S1" s="2" t="inlineStr">
        <is>
          <t>Selection</t>
        </is>
      </c>
      <c r="T1" s="2" t="inlineStr">
        <is>
          <t>Winners</t>
        </is>
      </c>
      <c r="U1" s="2" t="inlineStr">
        <is>
          <t>Expert tips</t>
        </is>
      </c>
      <c r="V1" s="2" t="inlineStr">
        <is>
          <t>Official link</t>
        </is>
      </c>
      <c r="W1" s="2" t="inlineStr">
        <is>
          <t>YouTube</t>
        </is>
      </c>
      <c r="X1" s="2" t="inlineStr">
        <is>
          <t>Price</t>
        </is>
      </c>
      <c r="Y1" s="2" t="inlineStr">
        <is>
          <t>Pay link</t>
        </is>
      </c>
      <c r="Z1" s="2" t="inlineStr">
        <is>
          <t>Tags</t>
        </is>
      </c>
      <c r="AA1" s="2" t="inlineStr">
        <is>
          <t>Added on</t>
        </is>
      </c>
      <c r="AB1" s="2" t="inlineStr">
        <is>
          <t>Verified on</t>
        </is>
      </c>
      <c r="AC1" s="2" t="inlineStr">
        <is>
          <t>Duplicate?</t>
        </is>
      </c>
    </row>
    <row r="2">
      <c r="A2" s="3" t="inlineStr">
        <is>
          <t>mastercard-foundation-scholars-program-bachelor</t>
        </is>
      </c>
      <c r="B2" s="3" t="inlineStr">
        <is>
          <t>Open</t>
        </is>
      </c>
      <c r="C2" s="3" t="inlineStr"/>
      <c r="D2" s="3" t="inlineStr">
        <is>
          <t>Scholarship</t>
        </is>
      </c>
      <c r="E2" s="3" t="inlineStr">
        <is>
          <t>Mastercard Foundation Scholars Program</t>
        </is>
      </c>
      <c r="F2" s="3" t="inlineStr">
        <is>
          <t>Mastercard Foundation &amp; Partner Universities: UCT, Ashesi, Makerere, KNUST, ALU, USIU-Africa</t>
        </is>
      </c>
      <c r="G2" s="3" t="inlineStr">
        <is>
          <t>Africa</t>
        </is>
      </c>
      <c r="H2" s="3" t="inlineStr">
        <is>
          <t>South Africa, Ghana, Uganda, Kenya</t>
        </is>
      </c>
      <c r="I2" s="3" t="inlineStr">
        <is>
          <t>Bachelor</t>
        </is>
      </c>
      <c r="J2" s="3" t="inlineStr">
        <is>
          <t>All fields</t>
        </is>
      </c>
      <c r="K2" s="3" t="inlineStr">
        <is>
          <t>Full</t>
        </is>
      </c>
      <c r="L2" s="3" t="inlineStr">
        <is>
          <t>Full Ride (100% Tuition, Housing, Stipend, Laptop, Books, Return Flights)</t>
        </is>
      </c>
      <c r="M2" s="3" t="inlineStr">
        <is>
          <t>Sep 30 – Nov 15, 2026 (Varies by host campus; e.g., UCT Undergrad: Sep 30; US/Global partners: Nov 15)</t>
        </is>
      </c>
      <c r="N2" s="3" t="inlineStr">
        <is>
          <t>African citizen; top 10% High School GPA; demonstrated high financial need; strong community leadership; typically under 29.</t>
        </is>
      </c>
      <c r="O2" s="3" t="inlineStr">
        <is>
          <t>High: Transcript + 2 Recommendation Letters + 3 Leadership/Impact Essays + Financial Need Proof</t>
        </is>
      </c>
      <c r="P2" s="3" t="inlineStr">
        <is>
          <t>Low-Income, First-Gen, High-GPA Community Leaders</t>
        </is>
      </c>
      <c r="Q2" s="3" t="inlineStr">
        <is>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is>
      </c>
      <c r="R2" s="3" t="inlineStr">
        <is>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is>
      </c>
      <c r="S2" s="3" t="inlineStr"/>
      <c r="T2" s="3" t="inlineStr"/>
      <c r="U2" s="3" t="inlineStr"/>
      <c r="V2" s="3" t="inlineStr">
        <is>
          <t>https://mastercardfdn.org/all/scholars/becoming-a-scholar/</t>
        </is>
      </c>
      <c r="W2" s="3" t="inlineStr"/>
      <c r="X2" s="3" t="inlineStr"/>
      <c r="Y2" s="3" t="inlineStr"/>
      <c r="Z2" s="3" t="inlineStr">
        <is>
          <t>Need-based</t>
        </is>
      </c>
      <c r="AA2" s="4" t="inlineStr"/>
      <c r="AB2" s="4" t="inlineStr"/>
      <c r="AC2" s="3">
        <f>IF(AND(E2&lt;&gt;"",COUNTIF($E$2:$E$800,E2)&gt;1),"DUPLICATE","")</f>
        <v/>
      </c>
    </row>
    <row r="3">
      <c r="A3" s="3" t="inlineStr">
        <is>
          <t>mauritius-africa-scholarship-scheme-mass-bachelor</t>
        </is>
      </c>
      <c r="B3" s="3" t="inlineStr">
        <is>
          <t>Open</t>
        </is>
      </c>
      <c r="C3" s="3" t="inlineStr"/>
      <c r="D3" s="3" t="inlineStr">
        <is>
          <t>Scholarship</t>
        </is>
      </c>
      <c r="E3" s="3" t="inlineStr">
        <is>
          <t>Mauritius–Africa Scholarship Scheme (MASS)</t>
        </is>
      </c>
      <c r="F3" s="3" t="inlineStr">
        <is>
          <t>Government of Mauritius</t>
        </is>
      </c>
      <c r="G3" s="3" t="inlineStr">
        <is>
          <t>Africa</t>
        </is>
      </c>
      <c r="H3" s="3" t="inlineStr">
        <is>
          <t>Mauritius</t>
        </is>
      </c>
      <c r="I3" s="3" t="inlineStr">
        <is>
          <t>Bachelor</t>
        </is>
      </c>
      <c r="J3" s="3" t="inlineStr">
        <is>
          <t>All fields</t>
        </is>
      </c>
      <c r="K3" s="3" t="inlineStr">
        <is>
          <t>Full</t>
        </is>
      </c>
      <c r="L3" s="3" t="inlineStr">
        <is>
          <t>Full Tuition + Living Stipend + Airfare (Up to MUR 100,000 tuition + MUR 16,500/mo stipend)</t>
        </is>
      </c>
      <c r="M3" s="3" t="inlineStr">
        <is>
          <t>Mar 27 (Annual cycle for 2026/2027 intake)</t>
        </is>
      </c>
      <c r="N3" s="3" t="inlineStr">
        <is>
          <t>Citizen of AU or African Commonwealth state; age above 18 and under 26 by Jan 1; minimum 60% average (12/20) or 21 GCE A-Level points; all majors.</t>
        </is>
      </c>
      <c r="O3" s="3" t="inlineStr">
        <is>
          <t>Medium: University Conditional Offer + Transcript + Home Ministry Nomination Form</t>
        </is>
      </c>
      <c r="P3" s="3" t="inlineStr">
        <is>
          <t>High School Seniors with 65%+ Grades Seeking Public University Degrees</t>
        </is>
      </c>
      <c r="Q3" s="3" t="inlineStr">
        <is>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is>
      </c>
      <c r="R3" s="3" t="inlineStr">
        <is>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is>
      </c>
      <c r="S3" s="3" t="inlineStr">
        <is>
          <t>Home Country Ministry Shortlisting (nominates up to 15 candidates per country) → Mauritian Ministry Verification of Academic Merit, Age Compliance (under 26 for Undergrad; under 40 for PhD), and Public University Seat Availability.</t>
        </is>
      </c>
      <c r="T3" s="3" t="inlineStr">
        <is>
          <t>Disciplined students who apply to the University of Mauritius early in January/February, obtain their application acknowledgment receipt, and hand-deliver their dossier to their local Ministry of Education scholarship desk before the March deadline.</t>
        </is>
      </c>
      <c r="U3" s="3" t="inlineStr"/>
      <c r="V3" s="3" t="inlineStr">
        <is>
          <t>https://highereducationmauritius.com/scholarships-for-foreign-students/</t>
        </is>
      </c>
      <c r="W3" s="3" t="inlineStr"/>
      <c r="X3" s="3" t="inlineStr"/>
      <c r="Y3" s="3" t="inlineStr"/>
      <c r="Z3" s="3" t="inlineStr"/>
      <c r="AA3" s="4" t="inlineStr"/>
      <c r="AB3" s="4" t="inlineStr"/>
      <c r="AC3" s="3">
        <f>IF(AND(E3&lt;&gt;"",COUNTIF($E$2:$E$800,E3)&gt;1),"DUPLICATE","")</f>
        <v/>
      </c>
    </row>
    <row r="4">
      <c r="A4" s="3" t="inlineStr">
        <is>
          <t>amci-moroccan-government-bilateral-scholarship-bachelor</t>
        </is>
      </c>
      <c r="B4" s="3" t="inlineStr">
        <is>
          <t>Open</t>
        </is>
      </c>
      <c r="C4" s="3" t="inlineStr"/>
      <c r="D4" s="3" t="inlineStr">
        <is>
          <t>Scholarship</t>
        </is>
      </c>
      <c r="E4" s="3" t="inlineStr">
        <is>
          <t>AMCI Moroccan Government Bilateral Scholarship</t>
        </is>
      </c>
      <c r="F4" s="3" t="inlineStr">
        <is>
          <t>Moroccan Agency for International Cooperation</t>
        </is>
      </c>
      <c r="G4" s="3" t="inlineStr">
        <is>
          <t>Africa</t>
        </is>
      </c>
      <c r="H4" s="3" t="inlineStr">
        <is>
          <t>Morocco, France</t>
        </is>
      </c>
      <c r="I4" s="3" t="inlineStr">
        <is>
          <t>Bachelor</t>
        </is>
      </c>
      <c r="J4" s="3" t="inlineStr">
        <is>
          <t>Engineering &amp; Technology, Health &amp; Life Sciences, Agriculture &amp; Food Security, Business, Economics &amp; Management, Architecture, Arts &amp; Design</t>
        </is>
      </c>
      <c r="K4" s="3" t="inlineStr">
        <is>
          <t>Full</t>
        </is>
      </c>
      <c r="L4" s="3" t="inlineStr">
        <is>
          <t>Full Public Tuition + Housing/Meals Subsidy + Stipend + 1-Yr French Prep</t>
        </is>
      </c>
      <c r="M4" s="3" t="inlineStr">
        <is>
          <t>May 15 – Aug 30 (Announced via Home Country Ministry of Education)</t>
        </is>
      </c>
      <c r="N4" s="3" t="inlineStr">
        <is>
          <t>African citizen; High School Diploma with Distinction/Good standing; age 18–23; Medicine, Engineering, Agronomy, Architecture, Economics.</t>
        </is>
      </c>
      <c r="O4" s="3" t="inlineStr">
        <is>
          <t>Low–Medium: No Essay (Transcript + Medical Certificate + Ministry Nomination Form)</t>
        </is>
      </c>
      <c r="P4" s="3" t="inlineStr">
        <is>
          <t>STEM/Medical Undergrads Open to Studying in French</t>
        </is>
      </c>
      <c r="Q4" s="3" t="inlineStr"/>
      <c r="R4" s="3" t="inlineStr"/>
      <c r="S4" s="3" t="inlineStr"/>
      <c r="T4" s="3" t="inlineStr"/>
      <c r="U4" s="3" t="inlineStr"/>
      <c r="V4" s="3" t="inlineStr"/>
      <c r="W4" s="3" t="inlineStr"/>
      <c r="X4" s="3" t="inlineStr"/>
      <c r="Y4" s="3" t="inlineStr"/>
      <c r="Z4" s="3" t="inlineStr">
        <is>
          <t>STEM</t>
        </is>
      </c>
      <c r="AA4" s="4" t="inlineStr"/>
      <c r="AB4" s="4" t="inlineStr"/>
      <c r="AC4" s="3">
        <f>IF(AND(E4&lt;&gt;"",COUNTIF($E$2:$E$800,E4)&gt;1),"DUPLICATE","")</f>
        <v/>
      </c>
    </row>
    <row r="5">
      <c r="A5" s="3" t="inlineStr">
        <is>
          <t>auc-excellence-mepi-tomorrow-s-leaders-undergraduate-scholar</t>
        </is>
      </c>
      <c r="B5" s="3" t="inlineStr">
        <is>
          <t>Open</t>
        </is>
      </c>
      <c r="C5" s="3" t="inlineStr"/>
      <c r="D5" s="3" t="inlineStr">
        <is>
          <t>Scholarship</t>
        </is>
      </c>
      <c r="E5" s="3" t="inlineStr">
        <is>
          <t>AUC Excellence &amp; MEPI Tomorrow’s Leaders Undergraduate Scholarships</t>
        </is>
      </c>
      <c r="F5" s="3" t="inlineStr">
        <is>
          <t>American University in Cairo &amp; US Dept. of State</t>
        </is>
      </c>
      <c r="G5" s="3" t="inlineStr">
        <is>
          <t>Africa</t>
        </is>
      </c>
      <c r="H5" s="3" t="inlineStr">
        <is>
          <t>Egypt, United States</t>
        </is>
      </c>
      <c r="I5" s="3" t="inlineStr">
        <is>
          <t>Bachelor</t>
        </is>
      </c>
      <c r="J5" s="3" t="inlineStr">
        <is>
          <t>All fields</t>
        </is>
      </c>
      <c r="K5" s="3" t="inlineStr">
        <is>
          <t>Full</t>
        </is>
      </c>
      <c r="L5" s="3" t="inlineStr">
        <is>
          <t>30% to 100% Tuition (MEPI is Full Ride: Tuition, Housing, Stipend, Travel)</t>
        </is>
      </c>
      <c r="M5" s="3" t="inlineStr">
        <is>
          <t>Dec 1 – Jun 1 (Varies by Fall/Spring intake &amp; donor track)</t>
        </is>
      </c>
      <c r="N5" s="3" t="inlineStr">
        <is>
          <t>High School GPA greater than 85%–90% (or IB/A-Level equivalent); IELTS/TOEFL required; demonstrated leadership &amp; financial need (for MEPI/Donor awards).</t>
        </is>
      </c>
      <c r="O5" s="3" t="inlineStr">
        <is>
          <t>Medium: Transcript + Short Personal Statement + Financial Aid Form + Extracurricular Portfolio</t>
        </is>
      </c>
      <c r="P5" s="3" t="inlineStr">
        <is>
          <t>North/Sub-Saharan African Students Seeking US-Accredited Liberal Arts/STEM</t>
        </is>
      </c>
      <c r="Q5" s="3" t="inlineStr"/>
      <c r="R5" s="3" t="inlineStr"/>
      <c r="S5" s="3" t="inlineStr"/>
      <c r="T5" s="3" t="inlineStr"/>
      <c r="U5" s="3" t="inlineStr"/>
      <c r="V5" s="3" t="inlineStr"/>
      <c r="W5" s="3" t="inlineStr"/>
      <c r="X5" s="3" t="inlineStr"/>
      <c r="Y5" s="3" t="inlineStr"/>
      <c r="Z5" s="3" t="inlineStr">
        <is>
          <t>Need-based</t>
        </is>
      </c>
      <c r="AA5" s="4" t="inlineStr"/>
      <c r="AB5" s="4" t="inlineStr"/>
      <c r="AC5" s="3">
        <f>IF(AND(E5&lt;&gt;"",COUNTIF($E$2:$E$800,E5)&gt;1),"DUPLICATE","")</f>
        <v/>
      </c>
    </row>
    <row r="6">
      <c r="A6" s="3" t="inlineStr">
        <is>
          <t>waaw-foundation-undergraduate-stem-scholarship-bachelor</t>
        </is>
      </c>
      <c r="B6" s="3" t="inlineStr">
        <is>
          <t>Open</t>
        </is>
      </c>
      <c r="C6" s="3" t="inlineStr"/>
      <c r="D6" s="3" t="inlineStr">
        <is>
          <t>Scholarship</t>
        </is>
      </c>
      <c r="E6" s="3" t="inlineStr">
        <is>
          <t>WAAW Foundation Undergraduate STEM Scholarship</t>
        </is>
      </c>
      <c r="F6" s="3" t="inlineStr">
        <is>
          <t>Working to Advance African Women</t>
        </is>
      </c>
      <c r="G6" s="3" t="inlineStr">
        <is>
          <t>Africa</t>
        </is>
      </c>
      <c r="H6" s="3" t="inlineStr"/>
      <c r="I6" s="3" t="inlineStr">
        <is>
          <t>Bachelor</t>
        </is>
      </c>
      <c r="J6" s="3" t="inlineStr">
        <is>
          <t>Mathematics &amp; Natural Sciences</t>
        </is>
      </c>
      <c r="K6" s="3" t="inlineStr">
        <is>
          <t>Partial</t>
        </is>
      </c>
      <c r="L6" s="3" t="inlineStr">
        <is>
          <t>$500 One-Time / Annual Grant (Need-based textbook &amp; tuition support)</t>
        </is>
      </c>
      <c r="M6" s="3" t="inlineStr">
        <is>
          <t>Nov 15 – Dec 1 (Annual cycle)</t>
        </is>
      </c>
      <c r="N6" s="3" t="inlineStr">
        <is>
          <t>Female African citizen currently enrolled in Year 1–3 of a Bachelor’s degree at an African university; studying a STEM major; GPA greater than 3.0/4.0; financial need.</t>
        </is>
      </c>
      <c r="O6" s="3" t="inlineStr">
        <is>
          <t>Medium: Short Essays + Transcript + 2 Reference Letters</t>
        </is>
      </c>
      <c r="P6" s="3" t="inlineStr">
        <is>
          <t>Female Undergraduates in STEM at African Universities</t>
        </is>
      </c>
      <c r="Q6" s="3" t="inlineStr"/>
      <c r="R6" s="3" t="inlineStr"/>
      <c r="S6" s="3" t="inlineStr"/>
      <c r="T6" s="3" t="inlineStr"/>
      <c r="U6" s="3" t="inlineStr"/>
      <c r="V6" s="3" t="inlineStr"/>
      <c r="W6" s="3" t="inlineStr"/>
      <c r="X6" s="3" t="inlineStr"/>
      <c r="Y6" s="3" t="inlineStr"/>
      <c r="Z6" s="3" t="inlineStr">
        <is>
          <t>Women, STEM, Need-based</t>
        </is>
      </c>
      <c r="AA6" s="4" t="inlineStr"/>
      <c r="AB6" s="4" t="inlineStr"/>
      <c r="AC6" s="3">
        <f>IF(AND(E6&lt;&gt;"",COUNTIF($E$2:$E$800,E6)&gt;1),"DUPLICATE","")</f>
        <v/>
      </c>
    </row>
    <row r="7">
      <c r="A7" s="3" t="inlineStr">
        <is>
          <t>pan-african-university-pau-scholarship-master</t>
        </is>
      </c>
      <c r="B7" s="3" t="inlineStr">
        <is>
          <t>Open</t>
        </is>
      </c>
      <c r="C7" s="3" t="inlineStr"/>
      <c r="D7" s="3" t="inlineStr">
        <is>
          <t>Scholarship</t>
        </is>
      </c>
      <c r="E7" s="3" t="inlineStr">
        <is>
          <t>Pan African University (PAU) Scholarship</t>
        </is>
      </c>
      <c r="F7" s="3" t="inlineStr">
        <is>
          <t>African Union Commission — Kenya, Nigeria, Cameroon, Algeria hubs</t>
        </is>
      </c>
      <c r="G7" s="3" t="inlineStr">
        <is>
          <t>Africa</t>
        </is>
      </c>
      <c r="H7" s="3" t="inlineStr">
        <is>
          <t>Kenya, Nigeria, Algeria, Cameroon</t>
        </is>
      </c>
      <c r="I7" s="3" t="inlineStr">
        <is>
          <t>Master</t>
        </is>
      </c>
      <c r="J7" s="3" t="inlineStr">
        <is>
          <t>Mathematics &amp; Natural Sciences, Health &amp; Life Sciences, Environment, Water &amp; Energy, Law, Governance &amp; Public Policy</t>
        </is>
      </c>
      <c r="K7" s="3" t="inlineStr">
        <is>
          <t>Full</t>
        </is>
      </c>
      <c r="L7" s="3" t="inlineStr">
        <is>
          <t>Full Ride (100% Tuition, Monthly Stipend, Return Flight, Medical Insurance, Research Grant)</t>
        </is>
      </c>
      <c r="M7" s="3" t="inlineStr">
        <is>
          <t>Nov 15 – Dec 15 (Annual call for following academic year)</t>
        </is>
      </c>
      <c r="N7" s="3" t="inlineStr">
        <is>
          <t>Citizen of AU member state; Under 25 (Male) or Under 28 (Female); Bachelor’s degree with at least Upper Second Class (2:1 / Distinction); STEM, Health, Governance, or Water/Energy.</t>
        </is>
      </c>
      <c r="O7" s="3" t="inlineStr">
        <is>
          <t>Medium: Transcript + National ID/Passport + 3 Referee Contacts (no essay required for Master’s)</t>
        </is>
      </c>
      <c r="P7" s="3" t="inlineStr">
        <is>
          <t>Under-25/28 Graduates with 2:1 or First Class Honours</t>
        </is>
      </c>
      <c r="Q7" s="3" t="inlineStr">
        <is>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is>
      </c>
      <c r="R7" s="3" t="inlineStr">
        <is>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is>
      </c>
      <c r="S7" s="3" t="inlineStr">
        <is>
          <t>Strict Automated Age &amp; Degree Class Filter (Pass/Fail), Academic GPA &amp; Subject Alignment (50%), Research Concept Note Quality for PhDs (30%), Regional &amp; Gender Diversity Quota across AU Member States (20%).</t>
        </is>
      </c>
      <c r="T7" s="3" t="inlineStr">
        <is>
          <t>A 23-year-old B.Sc. Civil Engineering graduate with First Class Honours (GPA 3.7/4.0) from Ghana or Tanzania admitted to PAUSTI (Kenya) or PAUWES (Algeria), or a 27-year-old female Master’s graduate with Distinction researching climate-resilient crops.</t>
        </is>
      </c>
      <c r="U7" s="3" t="inlineStr"/>
      <c r="V7" s="3" t="inlineStr">
        <is>
          <t>https://www.au-pau.org/submission/</t>
        </is>
      </c>
      <c r="W7" s="3" t="inlineStr"/>
      <c r="X7" s="3" t="inlineStr"/>
      <c r="Y7" s="3" t="inlineStr"/>
      <c r="Z7" s="3" t="inlineStr">
        <is>
          <t>Women, STEM</t>
        </is>
      </c>
      <c r="AA7" s="4" t="inlineStr"/>
      <c r="AB7" s="4" t="inlineStr"/>
      <c r="AC7" s="3">
        <f>IF(AND(E7&lt;&gt;"",COUNTIF($E$2:$E$800,E7)&gt;1),"DUPLICATE","")</f>
        <v/>
      </c>
    </row>
    <row r="8">
      <c r="A8" s="3" t="inlineStr">
        <is>
          <t>the-mandela-rhodes-scholarship-master</t>
        </is>
      </c>
      <c r="B8" s="3" t="inlineStr">
        <is>
          <t>Open</t>
        </is>
      </c>
      <c r="C8" s="3" t="inlineStr"/>
      <c r="D8" s="3" t="inlineStr">
        <is>
          <t>Scholarship</t>
        </is>
      </c>
      <c r="E8" s="3" t="inlineStr">
        <is>
          <t>The Mandela Rhodes Scholarship</t>
        </is>
      </c>
      <c r="F8" s="3" t="inlineStr">
        <is>
          <t>The Mandela Rhodes Foundation — South Africa</t>
        </is>
      </c>
      <c r="G8" s="3" t="inlineStr">
        <is>
          <t>Africa</t>
        </is>
      </c>
      <c r="H8" s="3" t="inlineStr">
        <is>
          <t>South Africa</t>
        </is>
      </c>
      <c r="I8" s="3" t="inlineStr">
        <is>
          <t>Master</t>
        </is>
      </c>
      <c r="J8" s="3" t="inlineStr">
        <is>
          <t>All fields</t>
        </is>
      </c>
      <c r="K8" s="3" t="inlineStr">
        <is>
          <t>Full</t>
        </is>
      </c>
      <c r="L8" s="3" t="inlineStr">
        <is>
          <t>Full Ride + Leadership Residency (Tuition, Housing, Meals, Books, Economy Flights, Stipend)</t>
        </is>
      </c>
      <c r="M8" s="3" t="inlineStr">
        <is>
          <t>Apr 14 (Opens early March annually for next Jan intake)</t>
        </is>
      </c>
      <c r="N8" s="3" t="inlineStr">
        <is>
          <t>Citizen of any of the 55 African countries; Age 19–29; minimum 70% average (GPA 3.0+ / Upper Second Class); applying for Honours or Master’s in any field at a South African university.</t>
        </is>
      </c>
      <c r="O8" s="3" t="inlineStr">
        <is>
          <t>High: Transcript + 3 Detailed Leadership Essays + 3 Recommendation Letters + Multi-Round Interviews</t>
        </is>
      </c>
      <c r="P8" s="3" t="inlineStr">
        <is>
          <t>High-GPA Young African Changemakers (All Majors)</t>
        </is>
      </c>
      <c r="Q8" s="3" t="inlineStr">
        <is>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is>
      </c>
      <c r="R8" s="3" t="inlineStr">
        <is>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is>
      </c>
      <c r="S8" s="3" t="inlineStr">
        <is>
          <t>Four-stage selection (Eligibility Check → Round 1 Application Review → Round 2 Video/Written Assessment in July → Round 3 Panel Interviews in October). Evaluates Academic Excellence (25%), Leadership Potential (25%), Entrepreneurial Spirit (25%), and Commitment to Reconciliation/Humanity (25%).</t>
        </is>
      </c>
      <c r="T8" s="3" t="inlineStr">
        <is>
          <t>Young African intellectuals—from medical doctors and AI engineers to poets, human rights lawyers, and social entrepreneurs—who show deep self-awareness, vulnerability in their personal essays, and a track record of building initiatives that bridge social divides.</t>
        </is>
      </c>
      <c r="U8" s="3" t="inlineStr"/>
      <c r="V8" s="3" t="inlineStr">
        <is>
          <t>https://www.mandelarhodes.org/scholarship/apply/</t>
        </is>
      </c>
      <c r="W8" s="3" t="inlineStr"/>
      <c r="X8" s="3" t="inlineStr"/>
      <c r="Y8" s="3" t="inlineStr"/>
      <c r="Z8" s="3" t="inlineStr"/>
      <c r="AA8" s="4" t="inlineStr"/>
      <c r="AB8" s="4" t="inlineStr"/>
      <c r="AC8" s="3">
        <f>IF(AND(E8&lt;&gt;"",COUNTIF($E$2:$E$800,E8)&gt;1),"DUPLICATE","")</f>
        <v/>
      </c>
    </row>
    <row r="9">
      <c r="A9" s="3" t="inlineStr">
        <is>
          <t>auc-african-graduate-fellowship-agf-master</t>
        </is>
      </c>
      <c r="B9" s="3" t="inlineStr">
        <is>
          <t>Open</t>
        </is>
      </c>
      <c r="C9" s="3" t="inlineStr"/>
      <c r="D9" s="3" t="inlineStr">
        <is>
          <t>Scholarship</t>
        </is>
      </c>
      <c r="E9" s="3" t="inlineStr">
        <is>
          <t>AUC African Graduate Fellowship (AGF)</t>
        </is>
      </c>
      <c r="F9" s="3" t="inlineStr">
        <is>
          <t>The American University in Cairo, Egypt</t>
        </is>
      </c>
      <c r="G9" s="3" t="inlineStr">
        <is>
          <t>Africa</t>
        </is>
      </c>
      <c r="H9" s="3" t="inlineStr">
        <is>
          <t>Egypt</t>
        </is>
      </c>
      <c r="I9" s="3" t="inlineStr">
        <is>
          <t>Master</t>
        </is>
      </c>
      <c r="J9" s="3" t="inlineStr">
        <is>
          <t>All fields</t>
        </is>
      </c>
      <c r="K9" s="3" t="inlineStr">
        <is>
          <t>Full</t>
        </is>
      </c>
      <c r="L9" s="3" t="inlineStr">
        <is>
          <t>Full Ride (Full Tuition for 9 credits/sem, Monthly Stipend, New Cairo Housing, Medical Insurance)</t>
        </is>
      </c>
      <c r="M9" s="3" t="inlineStr">
        <is>
          <t>May 3 – May 6 (Annual Fall intake deadline)</t>
        </is>
      </c>
      <c r="N9" s="3" t="inlineStr">
        <is>
          <t>Non-Egyptian African citizen resident in Africa; Bachelor’s GPA minimum 3.2/4.0; IELTS 6.5 / TOEFL iBT 83; admitted to an AUC Master’s program; 12 hrs/week TA/RA duty.</t>
        </is>
      </c>
      <c r="O9" s="3" t="inlineStr">
        <is>
          <t>Medium–High: AUC Admission Application + Statement of Purpose + 2 Recommendation Letters + IELTS/TOEFL</t>
        </is>
      </c>
      <c r="P9" s="3" t="inlineStr">
        <is>
          <t>African Graduates with 3.2+ GPA Seeking English-Taught Master’s</t>
        </is>
      </c>
      <c r="Q9" s="3" t="inlineStr"/>
      <c r="R9" s="3" t="inlineStr"/>
      <c r="S9" s="3" t="inlineStr"/>
      <c r="T9" s="3" t="inlineStr"/>
      <c r="U9" s="3" t="inlineStr"/>
      <c r="V9" s="3" t="inlineStr"/>
      <c r="W9" s="3" t="inlineStr"/>
      <c r="X9" s="3" t="inlineStr"/>
      <c r="Y9" s="3" t="inlineStr"/>
      <c r="Z9" s="3" t="inlineStr"/>
      <c r="AA9" s="4" t="inlineStr"/>
      <c r="AB9" s="4" t="inlineStr"/>
      <c r="AC9" s="3">
        <f>IF(AND(E9&lt;&gt;"",COUNTIF($E$2:$E$800,E9)&gt;1),"DUPLICATE","")</f>
        <v/>
      </c>
    </row>
    <row r="10">
      <c r="A10" s="3" t="inlineStr">
        <is>
          <t>e-just-ticad8-african-scholarships-for-sti-master</t>
        </is>
      </c>
      <c r="B10" s="3" t="inlineStr">
        <is>
          <t>Open</t>
        </is>
      </c>
      <c r="C10" s="3" t="inlineStr"/>
      <c r="D10" s="3" t="inlineStr">
        <is>
          <t>Scholarship</t>
        </is>
      </c>
      <c r="E10" s="3" t="inlineStr">
        <is>
          <t>E-JUST TICAD8 African Scholarships for STI</t>
        </is>
      </c>
      <c r="F10" s="3" t="inlineStr">
        <is>
          <t>Egypt-Japan University of Science &amp; Technology &amp; JICA</t>
        </is>
      </c>
      <c r="G10" s="3" t="inlineStr">
        <is>
          <t>Africa</t>
        </is>
      </c>
      <c r="H10" s="3" t="inlineStr">
        <is>
          <t>Egypt, Japan</t>
        </is>
      </c>
      <c r="I10" s="3" t="inlineStr">
        <is>
          <t>Master</t>
        </is>
      </c>
      <c r="J10" s="3" t="inlineStr">
        <is>
          <t>Engineering &amp; Technology, Computer Science, Data &amp; AI, Mathematics &amp; Natural Sciences</t>
        </is>
      </c>
      <c r="K10" s="3" t="inlineStr">
        <is>
          <t>Full</t>
        </is>
      </c>
      <c r="L10" s="3" t="inlineStr">
        <is>
          <t>Full Ride (Full Tuition, Campus Housing, Monthly Stipend, Medical Care, Round-Trip Airfare)</t>
        </is>
      </c>
      <c r="M10" s="3" t="inlineStr">
        <is>
          <t>Feb 15 (Annual Fall intake deadline)</t>
        </is>
      </c>
      <c r="N10" s="3" t="inlineStr">
        <is>
          <t>Non-Egyptian African citizen; Bachelor’s in Engineering, Computer Science, or Basic Applied Sciences; TOEFL 79 / IELTS 6.5 (or Duolingo 125 provisional); preference for Junior University Staff/Researchers.</t>
        </is>
      </c>
      <c r="O10" s="3" t="inlineStr">
        <is>
          <t>High: Research Proposal + Statement of Purpose + Full B.Sc. Graduation Project + 2 Recommendations + Employer Endorsement + Written/Oral Exam</t>
        </is>
      </c>
      <c r="P10" s="3" t="inlineStr">
        <is>
          <t>African Engineering/STEM Graduates &amp; Junior Lecturers</t>
        </is>
      </c>
      <c r="Q10" s="3" t="inlineStr">
        <is>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is>
      </c>
      <c r="R10" s="3" t="inlineStr">
        <is>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is>
      </c>
      <c r="S10" s="3" t="inlineStr">
        <is>
          <t>Document &amp; Transcript Screening → Written Subject Exam + Online Oral Academic Interview (late March/early April) evaluating technical mastery and research feasibility.</t>
        </is>
      </c>
      <c r="T10" s="3" t="inlineStr">
        <is>
          <t>Junior lecturers, assistant researchers, and top-graduating B.Sc./M.Sc. engineers from Kenya, Nigeria, Ethiopia, Uganda, and Ghana who hold an institutional endorsement to return and upgrade their home university's STEM departments.</t>
        </is>
      </c>
      <c r="U10" s="3" t="inlineStr"/>
      <c r="V10" s="3" t="inlineStr">
        <is>
          <t>https://www.ejust.edu.eg/int-admission</t>
        </is>
      </c>
      <c r="W10" s="3" t="inlineStr"/>
      <c r="X10" s="3" t="inlineStr"/>
      <c r="Y10" s="3" t="inlineStr"/>
      <c r="Z10" s="3" t="inlineStr">
        <is>
          <t>STEM, Research</t>
        </is>
      </c>
      <c r="AA10" s="4" t="inlineStr"/>
      <c r="AB10" s="4" t="inlineStr"/>
      <c r="AC10" s="3">
        <f>IF(AND(E10&lt;&gt;"",COUNTIF($E$2:$E$800,E10)&gt;1),"DUPLICATE","")</f>
        <v/>
      </c>
    </row>
    <row r="11">
      <c r="A11" s="3" t="inlineStr">
        <is>
          <t>aims-structured-master-s-ai-for-science-scholarship-master</t>
        </is>
      </c>
      <c r="B11" s="3" t="inlineStr">
        <is>
          <t>Open</t>
        </is>
      </c>
      <c r="C11" s="3" t="inlineStr"/>
      <c r="D11" s="3" t="inlineStr">
        <is>
          <t>Scholarship</t>
        </is>
      </c>
      <c r="E11" s="3" t="inlineStr">
        <is>
          <t>AIMS Structured Master’s &amp; AI for Science Scholarship</t>
        </is>
      </c>
      <c r="F11" s="3" t="inlineStr">
        <is>
          <t>African Institute for Mathematical Sciences &amp; Google DeepMind</t>
        </is>
      </c>
      <c r="G11" s="3" t="inlineStr">
        <is>
          <t>Africa</t>
        </is>
      </c>
      <c r="H11" s="3" t="inlineStr">
        <is>
          <t>Rwanda</t>
        </is>
      </c>
      <c r="I11" s="3" t="inlineStr">
        <is>
          <t>Master</t>
        </is>
      </c>
      <c r="J11" s="3" t="inlineStr">
        <is>
          <t>Engineering &amp; Technology, Computer Science, Data &amp; AI, Mathematics &amp; Natural Sciences</t>
        </is>
      </c>
      <c r="K11" s="3" t="inlineStr">
        <is>
          <t>Full</t>
        </is>
      </c>
      <c r="L11" s="3" t="inlineStr">
        <is>
          <t>Full Ride (100% Tuition, Full Board/Accommodation, Laptop, Flights, Stipend)</t>
        </is>
      </c>
      <c r="M11" s="3" t="inlineStr">
        <is>
          <t>Mar 29 (Annual deadline across South Africa, Rwanda, Ghana, Senegal, Cameroon hubs)</t>
        </is>
      </c>
      <c r="N11" s="3" t="inlineStr">
        <is>
          <t>African citizen; 4-year Bachelor’s degree in Mathematics, Physics, Computer Science, Statistics, or Engineering with strong quantitative/coding foundation.</t>
        </is>
      </c>
      <c r="O11" s="3" t="inlineStr">
        <is>
          <t>Medium: Transcript + CV + Short Motivation Statement + 3 Referees + Online Math/Coding Assessment</t>
        </is>
      </c>
      <c r="P11" s="3" t="inlineStr">
        <is>
          <t>Math, Physics, Data Science &amp; AI Majors</t>
        </is>
      </c>
      <c r="Q11" s="3" t="inlineStr"/>
      <c r="R11" s="3" t="inlineStr"/>
      <c r="S11" s="3" t="inlineStr"/>
      <c r="T11" s="3" t="inlineStr"/>
      <c r="U11" s="3" t="inlineStr"/>
      <c r="V11" s="3" t="inlineStr"/>
      <c r="W11" s="3" t="inlineStr"/>
      <c r="X11" s="3" t="inlineStr"/>
      <c r="Y11" s="3" t="inlineStr"/>
      <c r="Z11" s="3" t="inlineStr">
        <is>
          <t>STEM</t>
        </is>
      </c>
      <c r="AA11" s="4" t="inlineStr"/>
      <c r="AB11" s="4" t="inlineStr"/>
      <c r="AC11" s="3">
        <f>IF(AND(E11&lt;&gt;"",COUNTIF($E$2:$E$800,E11)&gt;1),"DUPLICATE","")</f>
        <v/>
      </c>
    </row>
    <row r="12">
      <c r="A12" s="3" t="inlineStr">
        <is>
          <t>afdb-japan-africa-dream-scholarship-jads-master</t>
        </is>
      </c>
      <c r="B12" s="3" t="inlineStr">
        <is>
          <t>Open</t>
        </is>
      </c>
      <c r="C12" s="3" t="inlineStr"/>
      <c r="D12" s="3" t="inlineStr">
        <is>
          <t>Scholarship</t>
        </is>
      </c>
      <c r="E12" s="3" t="inlineStr">
        <is>
          <t>AfDB Japan Africa Dream Scholarship (JADS)</t>
        </is>
      </c>
      <c r="F12" s="3" t="inlineStr">
        <is>
          <t>African Development Bank &amp; Govt. of Japan</t>
        </is>
      </c>
      <c r="G12" s="3" t="inlineStr">
        <is>
          <t>Africa</t>
        </is>
      </c>
      <c r="H12" s="3" t="inlineStr">
        <is>
          <t>Japan</t>
        </is>
      </c>
      <c r="I12" s="3" t="inlineStr">
        <is>
          <t>Master</t>
        </is>
      </c>
      <c r="J12" s="3" t="inlineStr">
        <is>
          <t>Engineering &amp; Technology, Health &amp; Life Sciences, Agriculture &amp; Food Security, Environment, Water &amp; Energy</t>
        </is>
      </c>
      <c r="K12" s="3" t="inlineStr">
        <is>
          <t>Full</t>
        </is>
      </c>
      <c r="L12" s="3" t="inlineStr">
        <is>
          <t>Full Ride (Full Tuition, Monthly Living Allowance, Health Insurance, Round-Trip Airfare)</t>
        </is>
      </c>
      <c r="M12" s="3" t="inlineStr">
        <is>
          <t>Jul – Aug (Varies slightly by partner university window)</t>
        </is>
      </c>
      <c r="N12" s="3" t="inlineStr">
        <is>
          <t>Citizen of AfDB member country; under 35; Bachelor’s degree + minimum 1–2 years professional experience; Energy, Agriculture, Health, Environment, Engineering.</t>
        </is>
      </c>
      <c r="O12" s="3" t="inlineStr">
        <is>
          <t>High: University Admission Letter + Statement of Purpose on National Development + Employment Verification + 2 References</t>
        </is>
      </c>
      <c r="P12" s="3" t="inlineStr">
        <is>
          <t>Mid-Career STEM/Development Professionals</t>
        </is>
      </c>
      <c r="Q12" s="3" t="inlineStr"/>
      <c r="R12" s="3" t="inlineStr"/>
      <c r="S12" s="3" t="inlineStr"/>
      <c r="T12" s="3" t="inlineStr"/>
      <c r="U12" s="3" t="inlineStr"/>
      <c r="V12" s="3" t="inlineStr"/>
      <c r="W12" s="3" t="inlineStr"/>
      <c r="X12" s="3" t="inlineStr"/>
      <c r="Y12" s="3" t="inlineStr"/>
      <c r="Z12" s="3" t="inlineStr">
        <is>
          <t>STEM, Work experience</t>
        </is>
      </c>
      <c r="AA12" s="4" t="inlineStr"/>
      <c r="AB12" s="4" t="inlineStr"/>
      <c r="AC12" s="3">
        <f>IF(AND(E12&lt;&gt;"",COUNTIF($E$2:$E$800,E12)&gt;1),"DUPLICATE","")</f>
        <v/>
      </c>
    </row>
    <row r="13">
      <c r="A13" s="3" t="inlineStr">
        <is>
          <t>paset-regional-scholarship-innovation-fund-rsif-phd</t>
        </is>
      </c>
      <c r="B13" s="3" t="inlineStr">
        <is>
          <t>Open</t>
        </is>
      </c>
      <c r="C13" s="3" t="inlineStr"/>
      <c r="D13" s="3" t="inlineStr">
        <is>
          <t>Scholarship</t>
        </is>
      </c>
      <c r="E13" s="3" t="inlineStr">
        <is>
          <t>PASET Regional Scholarship &amp; Innovation Fund (RSIF)</t>
        </is>
      </c>
      <c r="F13" s="3" t="inlineStr">
        <is>
          <t>Partnership for skills in Applied Sciences, Engineering &amp; Technology / icipe</t>
        </is>
      </c>
      <c r="G13" s="3" t="inlineStr">
        <is>
          <t>Africa</t>
        </is>
      </c>
      <c r="H13" s="3" t="inlineStr">
        <is>
          <t>Kenya</t>
        </is>
      </c>
      <c r="I13" s="3" t="inlineStr">
        <is>
          <t>PhD</t>
        </is>
      </c>
      <c r="J13" s="3" t="inlineStr">
        <is>
          <t>Engineering &amp; Technology, Computer Science, Data &amp; AI, Mathematics &amp; Natural Sciences, Agriculture &amp; Food Security, Environment, Water &amp; Energy</t>
        </is>
      </c>
      <c r="K13" s="3" t="inlineStr">
        <is>
          <t>Full</t>
        </is>
      </c>
      <c r="L13" s="3" t="inlineStr">
        <is>
          <t>Full Ride + 6–12 Mo International Sandwich Placement (Tuition, Stipend, Research Funds, Travel, Insurance)</t>
        </is>
      </c>
      <c r="M13" s="3" t="inlineStr">
        <is>
          <t>May 31 (Annual cycle)</t>
        </is>
      </c>
      <c r="N13" s="3" t="inlineStr">
        <is>
          <t>Citizen of Sub-Saharan African country; Master’s degree in ICT/Data Science, Food Security, Minerals/Materials Engineering, Energy, or Climate Change; priority for women and junior faculty under 35.</t>
        </is>
      </c>
      <c r="O13" s="3" t="inlineStr">
        <is>
          <t>High: PhD Research Concept Note + Master’s/Bachelor’s Transcripts + 2 Recommendation Letters + University Admission/Endorsement</t>
        </is>
      </c>
      <c r="P13" s="3" t="inlineStr">
        <is>
          <t>STEM PhD Candidates &amp; Junior Faculty Seeking International Lab Exposure</t>
        </is>
      </c>
      <c r="Q13" s="3" t="inlineStr">
        <is>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is>
      </c>
      <c r="R13" s="3" t="inlineStr">
        <is>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is>
      </c>
      <c r="S13" s="3" t="inlineStr">
        <is>
          <t>Independent External Scientific Review (evaluates scientific merit, methodology, and industrial relevance of the PhD proposal), Academic Track Record &amp; Publications, and Priority Weighting for female STEM researchers and junior university faculty under age 35.</t>
        </is>
      </c>
      <c r="T13" s="3" t="inlineStr">
        <is>
          <t>A 30-year-old female lecturer or researcher with a Master’s in Renewable Energy, Materials Science, or Agricultural Biotechnology and 1–2 co-authored journal papers whose PhD project solves a tangible industrial or environmental bottleneck in Sub-Saharan Africa.</t>
        </is>
      </c>
      <c r="U13" s="3" t="inlineStr"/>
      <c r="V13" s="3" t="inlineStr">
        <is>
          <t>https://www.rsif-paset.org/calls/scholarships/</t>
        </is>
      </c>
      <c r="W13" s="3" t="inlineStr"/>
      <c r="X13" s="3" t="inlineStr"/>
      <c r="Y13" s="3" t="inlineStr"/>
      <c r="Z13" s="3" t="inlineStr">
        <is>
          <t>Women, STEM</t>
        </is>
      </c>
      <c r="AA13" s="4" t="inlineStr"/>
      <c r="AB13" s="4" t="inlineStr"/>
      <c r="AC13" s="3">
        <f>IF(AND(E13&lt;&gt;"",COUNTIF($E$2:$E$800,E13)&gt;1),"DUPLICATE","")</f>
        <v/>
      </c>
    </row>
    <row r="14">
      <c r="A14" s="3" t="inlineStr">
        <is>
          <t>daad-in-country-in-region-scholarship-programme-phd</t>
        </is>
      </c>
      <c r="B14" s="3" t="inlineStr">
        <is>
          <t>Open</t>
        </is>
      </c>
      <c r="C14" s="3" t="inlineStr"/>
      <c r="D14" s="3" t="inlineStr">
        <is>
          <t>Scholarship</t>
        </is>
      </c>
      <c r="E14" s="3" t="inlineStr">
        <is>
          <t>DAAD In-Country / In-Region Scholarship Programme</t>
        </is>
      </c>
      <c r="F14" s="3" t="inlineStr">
        <is>
          <t>German Academic Exchange Service — 40+ African Centers of Excellence</t>
        </is>
      </c>
      <c r="G14" s="3" t="inlineStr">
        <is>
          <t>Africa</t>
        </is>
      </c>
      <c r="H14" s="3" t="inlineStr">
        <is>
          <t>Germany</t>
        </is>
      </c>
      <c r="I14" s="3" t="inlineStr">
        <is>
          <t>PhD</t>
        </is>
      </c>
      <c r="J14" s="3" t="inlineStr">
        <is>
          <t>Mathematics &amp; Natural Sciences, Health &amp; Life Sciences, Agriculture &amp; Food Security, Law, Governance &amp; Public Policy</t>
        </is>
      </c>
      <c r="K14" s="3" t="inlineStr">
        <is>
          <t>Full</t>
        </is>
      </c>
      <c r="L14" s="3" t="inlineStr">
        <is>
          <t>Full Ride + Optional 6-Mo Germany Research Stay (Tuition, Monthly EUR Stipend, Research Allowance, Travel)</t>
        </is>
      </c>
      <c r="M14" s="3" t="inlineStr">
        <is>
          <t>Nov 20 – Feb 15 (Staggered by host institution via DAAD portal)</t>
        </is>
      </c>
      <c r="N14" s="3" t="inlineStr">
        <is>
          <t>Sub-Saharan African national; Master’s degree completed within the last 6 years with above-average grades (Upper Second/Distinction); STEM, Public Health, Agriculture, Governance, Law.</t>
        </is>
      </c>
      <c r="O14" s="3" t="inlineStr">
        <is>
          <t>High: Dual Application (Host University + DAAD Portal) + Detailed PhD Research Proposal + Work Schedule + 2 Referees</t>
        </is>
      </c>
      <c r="P14" s="3" t="inlineStr">
        <is>
          <t>Recent Master’s Graduates Applying to Accredited African Centers of Excellence</t>
        </is>
      </c>
      <c r="Q14" s="3" t="inlineStr"/>
      <c r="R14" s="3" t="inlineStr"/>
      <c r="S14" s="3" t="inlineStr"/>
      <c r="T14" s="3" t="inlineStr"/>
      <c r="U14" s="3" t="inlineStr"/>
      <c r="V14" s="3" t="inlineStr"/>
      <c r="W14" s="3" t="inlineStr"/>
      <c r="X14" s="3" t="inlineStr"/>
      <c r="Y14" s="3" t="inlineStr"/>
      <c r="Z14" s="3" t="inlineStr">
        <is>
          <t>STEM</t>
        </is>
      </c>
      <c r="AA14" s="4" t="inlineStr"/>
      <c r="AB14" s="4" t="inlineStr"/>
      <c r="AC14" s="3">
        <f>IF(AND(E14&lt;&gt;"",COUNTIF($E$2:$E$800,E14)&gt;1),"DUPLICATE","")</f>
        <v/>
      </c>
    </row>
    <row r="15">
      <c r="A15" s="3" t="inlineStr">
        <is>
          <t>owsd-phd-fellowship-phd</t>
        </is>
      </c>
      <c r="B15" s="3" t="inlineStr">
        <is>
          <t>Open</t>
        </is>
      </c>
      <c r="C15" s="3" t="inlineStr"/>
      <c r="D15" s="3" t="inlineStr">
        <is>
          <t>Scholarship</t>
        </is>
      </c>
      <c r="E15" s="3" t="inlineStr">
        <is>
          <t>OWSD PhD Fellowship</t>
        </is>
      </c>
      <c r="F15" s="3" t="inlineStr">
        <is>
          <t>Organization for Women in Science for the Developing World &amp; Sida/UNESCO</t>
        </is>
      </c>
      <c r="G15" s="3" t="inlineStr">
        <is>
          <t>Africa</t>
        </is>
      </c>
      <c r="H15" s="3" t="inlineStr">
        <is>
          <t>South Africa, Ghana, Kenya</t>
        </is>
      </c>
      <c r="I15" s="3" t="inlineStr">
        <is>
          <t>PhD</t>
        </is>
      </c>
      <c r="J15" s="3" t="inlineStr">
        <is>
          <t>Engineering &amp; Technology, Mathematics &amp; Natural Sciences</t>
        </is>
      </c>
      <c r="K15" s="3" t="inlineStr">
        <is>
          <t>Full</t>
        </is>
      </c>
      <c r="L15" s="3" t="inlineStr">
        <is>
          <t>Full Ride (Tuition, Monthly Living Stipend, Accommodation, Visa/Airfare, Research &amp; Conference Grants)</t>
        </is>
      </c>
      <c r="M15" s="3" t="inlineStr">
        <is>
          <t>Mar – Apr (Annual call)</t>
        </is>
      </c>
      <c r="N15" s="3" t="inlineStr">
        <is>
          <t>Female scientist from a Science &amp; Technology Lagging Country (STLC); Master’s in Natural, Engineering, or IT Sciences; accepted/hosted by a top institute in another Global South country (e.g., South Africa, Kenya, Ghana).</t>
        </is>
      </c>
      <c r="O15" s="3" t="inlineStr">
        <is>
          <t>High: Host Supervisor Acceptance Letter + PhD Research Proposal + 2 Reference Letters + No-Objection Certificate</t>
        </is>
      </c>
      <c r="P15" s="3" t="inlineStr">
        <is>
          <t>Women Scientists in STEM from Eligible African Countries</t>
        </is>
      </c>
      <c r="Q15" s="3" t="inlineStr"/>
      <c r="R15" s="3" t="inlineStr"/>
      <c r="S15" s="3" t="inlineStr"/>
      <c r="T15" s="3" t="inlineStr"/>
      <c r="U15" s="3" t="inlineStr"/>
      <c r="V15" s="3" t="inlineStr"/>
      <c r="W15" s="3" t="inlineStr"/>
      <c r="X15" s="3" t="inlineStr"/>
      <c r="Y15" s="3" t="inlineStr"/>
      <c r="Z15" s="3" t="inlineStr">
        <is>
          <t>Women, STEM</t>
        </is>
      </c>
      <c r="AA15" s="4" t="inlineStr"/>
      <c r="AB15" s="4" t="inlineStr"/>
      <c r="AC15" s="3">
        <f>IF(AND(E15&lt;&gt;"",COUNTIF($E$2:$E$800,E15)&gt;1),"DUPLICATE","")</f>
        <v/>
      </c>
    </row>
    <row r="16">
      <c r="A16" s="3" t="inlineStr">
        <is>
          <t>canon-collins-trust-postgraduate-scholarships-phd</t>
        </is>
      </c>
      <c r="B16" s="3" t="inlineStr">
        <is>
          <t>Open</t>
        </is>
      </c>
      <c r="C16" s="3" t="inlineStr"/>
      <c r="D16" s="3" t="inlineStr">
        <is>
          <t>Scholarship</t>
        </is>
      </c>
      <c r="E16" s="3" t="inlineStr">
        <is>
          <t>Canon Collins Trust Postgraduate Scholarships</t>
        </is>
      </c>
      <c r="F16" s="3" t="inlineStr">
        <is>
          <t>Canon Collins Educational &amp; Legal Assistance Trust — South Africa</t>
        </is>
      </c>
      <c r="G16" s="3" t="inlineStr">
        <is>
          <t>Africa</t>
        </is>
      </c>
      <c r="H16" s="3" t="inlineStr">
        <is>
          <t>South Africa</t>
        </is>
      </c>
      <c r="I16" s="3" t="inlineStr">
        <is>
          <t>PhD</t>
        </is>
      </c>
      <c r="J16" s="3" t="inlineStr">
        <is>
          <t>Environment, Water &amp; Energy, Law, Governance &amp; Public Policy, Education</t>
        </is>
      </c>
      <c r="K16" s="3" t="inlineStr">
        <is>
          <t>Full</t>
        </is>
      </c>
      <c r="L16" s="3" t="inlineStr">
        <is>
          <t>R20,000 – R100,000/yr (Up to Full Tuition &amp; Living Support depending on sub-fund)</t>
        </is>
      </c>
      <c r="M16" s="3" t="inlineStr">
        <is>
          <t>Jul – Aug (Annual cycle for next academic year)</t>
        </is>
      </c>
      <c r="N16" s="3" t="inlineStr">
        <is>
          <t>Citizen/Refugee of SADC / Southern Africa (Angola, Botswana, DRC, Eswatini, Lesotho, Malawi, Mozambique, Namibia, SA, Tanzania, Zambia, Zimbabwe); studying Justice/Law, Education, or Climate Change in South Africa.</t>
        </is>
      </c>
      <c r="O16" s="3" t="inlineStr">
        <is>
          <t>High: Academic Transcripts + PhD Proposal + Impact Essays + 2 Reference Letters + Proof of Income/Pay Slips</t>
        </is>
      </c>
      <c r="P16" s="3" t="inlineStr">
        <is>
          <t>Southern African Law, Education, and Climate Change Researchers</t>
        </is>
      </c>
      <c r="Q16" s="3" t="inlineStr"/>
      <c r="R16" s="3" t="inlineStr"/>
      <c r="S16" s="3" t="inlineStr"/>
      <c r="T16" s="3" t="inlineStr"/>
      <c r="U16" s="3" t="inlineStr"/>
      <c r="V16" s="3" t="inlineStr"/>
      <c r="W16" s="3" t="inlineStr"/>
      <c r="X16" s="3" t="inlineStr"/>
      <c r="Y16" s="3" t="inlineStr"/>
      <c r="Z16" s="3" t="inlineStr"/>
      <c r="AA16" s="4" t="inlineStr"/>
      <c r="AB16" s="4" t="inlineStr"/>
      <c r="AC16" s="3">
        <f>IF(AND(E16&lt;&gt;"",COUNTIF($E$2:$E$800,E16)&gt;1),"DUPLICATE","")</f>
        <v/>
      </c>
    </row>
    <row r="17">
      <c r="A17" s="3" t="inlineStr">
        <is>
          <t>mext-undergraduate-scholarship-bachelor</t>
        </is>
      </c>
      <c r="B17" s="3" t="inlineStr">
        <is>
          <t>Open</t>
        </is>
      </c>
      <c r="C17" s="3" t="inlineStr"/>
      <c r="D17" s="3" t="inlineStr">
        <is>
          <t>Scholarship</t>
        </is>
      </c>
      <c r="E17" s="3" t="inlineStr">
        <is>
          <t>MEXT Undergraduate Scholarship</t>
        </is>
      </c>
      <c r="F17" s="3" t="inlineStr">
        <is>
          <t>Government of Japan — MEXT</t>
        </is>
      </c>
      <c r="G17" s="3" t="inlineStr">
        <is>
          <t>Asia</t>
        </is>
      </c>
      <c r="H17" s="3" t="inlineStr">
        <is>
          <t>Japan</t>
        </is>
      </c>
      <c r="I17" s="3" t="inlineStr">
        <is>
          <t>Bachelor</t>
        </is>
      </c>
      <c r="J17" s="3" t="inlineStr">
        <is>
          <t>Mathematics &amp; Natural Sciences</t>
        </is>
      </c>
      <c r="K17" s="3" t="inlineStr">
        <is>
          <t>Full</t>
        </is>
      </c>
      <c r="L17" s="3" t="inlineStr">
        <is>
          <t>Full Ride (100% Tuition, ¥117,000/mo Stipend, Round-Trip Airfare, Free Japanese Prep)</t>
        </is>
      </c>
      <c r="M17" s="3" t="inlineStr">
        <is>
          <t>May – June (Annual embassy recommendation window)</t>
        </is>
      </c>
      <c r="N17" s="3" t="inlineStr">
        <is>
          <t>High school graduate; age 17 to 25; willing to study in Japanese language (includes 1-year preparatory training); strong math/science background.</t>
        </is>
      </c>
      <c r="O17" s="3" t="inlineStr">
        <is>
          <t>High: Written Exams (Math, English, Japanese/Science) + Embassy Interview + Medical Certificate</t>
        </is>
      </c>
      <c r="P17" s="3" t="inlineStr">
        <is>
          <t>Young High School Graduates Open to Learning Japanese</t>
        </is>
      </c>
      <c r="Q17" s="3"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17" s="3"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17" s="3" t="inlineStr">
        <is>
          <t>Primary Screening by Embassies (Document review, English/Japanese written exams, and formal interview) → Secondary Screening by MEXT in Tokyo.</t>
        </is>
      </c>
      <c r="T17" s="3" t="inlineStr">
        <is>
          <t>Diligent science or humanities graduates who excel in embassy written exams and present a rigorous, feasible research proposal for their prospective Japanese laboratory.</t>
        </is>
      </c>
      <c r="U17" s="3" t="inlineStr"/>
      <c r="V17" s="3" t="inlineStr">
        <is>
          <t>https://www.studyinjapan.go.jp</t>
        </is>
      </c>
      <c r="W17" s="3" t="inlineStr"/>
      <c r="X17" s="3" t="inlineStr"/>
      <c r="Y17" s="3" t="inlineStr"/>
      <c r="Z17" s="3" t="inlineStr">
        <is>
          <t>STEM</t>
        </is>
      </c>
      <c r="AA17" s="4" t="inlineStr"/>
      <c r="AB17" s="4" t="inlineStr"/>
      <c r="AC17" s="3">
        <f>IF(AND(E17&lt;&gt;"",COUNTIF($E$2:$E$800,E17)&gt;1),"DUPLICATE","")</f>
        <v/>
      </c>
    </row>
    <row r="18">
      <c r="A18" s="3" t="inlineStr">
        <is>
          <t>global-korea-scholarship-gks-undergraduate-bachelor</t>
        </is>
      </c>
      <c r="B18" s="3" t="inlineStr">
        <is>
          <t>Open</t>
        </is>
      </c>
      <c r="C18" s="3" t="inlineStr"/>
      <c r="D18" s="3" t="inlineStr">
        <is>
          <t>Scholarship</t>
        </is>
      </c>
      <c r="E18" s="3" t="inlineStr">
        <is>
          <t>Global Korea Scholarship (GKS) Undergraduate</t>
        </is>
      </c>
      <c r="F18" s="3" t="inlineStr">
        <is>
          <t>Government of South Korea — NIIED</t>
        </is>
      </c>
      <c r="G18" s="3" t="inlineStr">
        <is>
          <t>Asia</t>
        </is>
      </c>
      <c r="H18" s="3" t="inlineStr">
        <is>
          <t>South Korea</t>
        </is>
      </c>
      <c r="I18" s="3" t="inlineStr">
        <is>
          <t>Bachelor</t>
        </is>
      </c>
      <c r="J18" s="3" t="inlineStr">
        <is>
          <t>All fields</t>
        </is>
      </c>
      <c r="K18" s="3" t="inlineStr">
        <is>
          <t>Full</t>
        </is>
      </c>
      <c r="L18" s="3" t="inlineStr">
        <is>
          <t>Full Ride (Tuition, KRW 900,000/mo Stipend, Settlement Allowance, Airfare, 1-Yr Korean Prep)</t>
        </is>
      </c>
      <c r="M18" s="3" t="inlineStr">
        <is>
          <t>Sep – Oct (Embassy Track) / Oct – Nov (University Track)</t>
        </is>
      </c>
      <c r="N18" s="3" t="inlineStr">
        <is>
          <t>High school graduate; age under 25; minimum GPA 2.64/4.0 (or top 20%); all academic majors.</t>
        </is>
      </c>
      <c r="O18" s="3" t="inlineStr">
        <is>
          <t>High: Personal Statement + Study Plan + 3 Recommendation Letters + Apostilled Transcripts</t>
        </is>
      </c>
      <c r="P18" s="3" t="inlineStr">
        <is>
          <t>High School Seniors Seeking Full Sponsorship in Korea</t>
        </is>
      </c>
      <c r="Q18" s="3"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18" s="3"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18" s="3" t="inlineStr">
        <is>
          <t>Document Screening (40%), Embassy/University Interviews (35%), Language/Academic Aptitude Assessment (25%).</t>
        </is>
      </c>
      <c r="T18" s="3" t="inlineStr">
        <is>
          <t>Multilingual graduates with strong GPAs who demonstrate clear alignment with South Korea's technological or cultural industries in their study plans.</t>
        </is>
      </c>
      <c r="U18" s="3" t="inlineStr"/>
      <c r="V18" s="3" t="inlineStr">
        <is>
          <t>https://www.studyinkorea.go.kr</t>
        </is>
      </c>
      <c r="W18" s="3" t="inlineStr"/>
      <c r="X18" s="3" t="inlineStr"/>
      <c r="Y18" s="3" t="inlineStr"/>
      <c r="Z18" s="3" t="inlineStr"/>
      <c r="AA18" s="4" t="inlineStr"/>
      <c r="AB18" s="4" t="inlineStr"/>
      <c r="AC18" s="3">
        <f>IF(AND(E18&lt;&gt;"",COUNTIF($E$2:$E$800,E18)&gt;1),"DUPLICATE","")</f>
        <v/>
      </c>
    </row>
    <row r="19">
      <c r="A19" s="3" t="inlineStr">
        <is>
          <t>chinese-government-scholarship-csc-undergraduate-bachelor</t>
        </is>
      </c>
      <c r="B19" s="3" t="inlineStr">
        <is>
          <t>Open</t>
        </is>
      </c>
      <c r="C19" s="3" t="inlineStr"/>
      <c r="D19" s="3" t="inlineStr">
        <is>
          <t>Scholarship</t>
        </is>
      </c>
      <c r="E19" s="3" t="inlineStr">
        <is>
          <t>Chinese Government Scholarship (CSC) Undergraduate</t>
        </is>
      </c>
      <c r="F19" s="3" t="inlineStr">
        <is>
          <t>China Scholarship Council</t>
        </is>
      </c>
      <c r="G19" s="3" t="inlineStr">
        <is>
          <t>Asia</t>
        </is>
      </c>
      <c r="H19" s="3" t="inlineStr">
        <is>
          <t>China</t>
        </is>
      </c>
      <c r="I19" s="3" t="inlineStr">
        <is>
          <t>Bachelor</t>
        </is>
      </c>
      <c r="J19" s="3" t="inlineStr">
        <is>
          <t>All fields</t>
        </is>
      </c>
      <c r="K19" s="3" t="inlineStr">
        <is>
          <t>Full</t>
        </is>
      </c>
      <c r="L19" s="3" t="inlineStr">
        <is>
          <t>Full Ride (Tuition Waiver, Free On-Campus Dorm, CNY 2,500/mo Stipend, Medical Insurance)</t>
        </is>
      </c>
      <c r="M19" s="3" t="inlineStr">
        <is>
          <t>Dec – April (Varies by host university)</t>
        </is>
      </c>
      <c r="N19" s="3" t="inlineStr">
        <is>
          <t>Non-Chinese citizen; high school diploma; age under 25; programs available in English or Chinese medium.</t>
        </is>
      </c>
      <c r="O19" s="3" t="inlineStr">
        <is>
          <t>Medium: Application Form + High School Transcript + Physical Examination Form + Non-Criminal Record</t>
        </is>
      </c>
      <c r="P19" s="3" t="inlineStr">
        <is>
          <t>Undergraduates Seeking Direct University Entry in China</t>
        </is>
      </c>
      <c r="Q19" s="3" t="inlineStr"/>
      <c r="R19" s="3" t="inlineStr"/>
      <c r="S19" s="3" t="inlineStr"/>
      <c r="T19" s="3" t="inlineStr"/>
      <c r="U19" s="3" t="inlineStr"/>
      <c r="V19" s="3" t="inlineStr"/>
      <c r="W19" s="3" t="inlineStr"/>
      <c r="X19" s="3" t="inlineStr"/>
      <c r="Y19" s="3" t="inlineStr"/>
      <c r="Z19" s="3" t="inlineStr"/>
      <c r="AA19" s="4" t="inlineStr"/>
      <c r="AB19" s="4" t="inlineStr"/>
      <c r="AC19" s="3">
        <f>IF(AND(E19&lt;&gt;"",COUNTIF($E$2:$E$800,E19)&gt;1),"DUPLICATE","")</f>
        <v/>
      </c>
    </row>
    <row r="20">
      <c r="A20" s="3" t="inlineStr">
        <is>
          <t>asean-undergraduate-scholarships-aus-bachelor</t>
        </is>
      </c>
      <c r="B20" s="3" t="inlineStr">
        <is>
          <t>Open</t>
        </is>
      </c>
      <c r="C20" s="3" t="inlineStr"/>
      <c r="D20" s="3" t="inlineStr">
        <is>
          <t>Scholarship</t>
        </is>
      </c>
      <c r="E20" s="3" t="inlineStr">
        <is>
          <t>ASEAN Undergraduate Scholarships (AUS)</t>
        </is>
      </c>
      <c r="F20" s="3" t="inlineStr">
        <is>
          <t>National University of Singapore / NTU / SMU</t>
        </is>
      </c>
      <c r="G20" s="3" t="inlineStr">
        <is>
          <t>Asia</t>
        </is>
      </c>
      <c r="H20" s="3" t="inlineStr">
        <is>
          <t>Singapore</t>
        </is>
      </c>
      <c r="I20" s="3" t="inlineStr">
        <is>
          <t>Bachelor</t>
        </is>
      </c>
      <c r="J20" s="3" t="inlineStr">
        <is>
          <t>All fields</t>
        </is>
      </c>
      <c r="K20" s="3" t="inlineStr">
        <is>
          <t>Full</t>
        </is>
      </c>
      <c r="L20" s="3" t="inlineStr">
        <is>
          <t>Full Tuition + Accommodation Allowance + Annual Living Allowance (approx. SGD 5,800/yr living)</t>
        </is>
      </c>
      <c r="M20" s="3" t="inlineStr">
        <is>
          <t>Mar – May (Aligned with university admission cycles)</t>
        </is>
      </c>
      <c r="N20" s="3" t="inlineStr">
        <is>
          <t>Citizens of ASEAN member countries (excluding Singapore); excellent Singapore-Cambridge GCE A-Level, IB, or high school results.</t>
        </is>
      </c>
      <c r="O20" s="3" t="inlineStr">
        <is>
          <t>Medium: University Admission Application + Separate Financial/Merit Scholarship Form</t>
        </is>
      </c>
      <c r="P20" s="3" t="inlineStr">
        <is>
          <t>Top-Tier High School Students from Southeast Asia</t>
        </is>
      </c>
      <c r="Q20" s="3" t="inlineStr"/>
      <c r="R20" s="3" t="inlineStr"/>
      <c r="S20" s="3" t="inlineStr"/>
      <c r="T20" s="3" t="inlineStr"/>
      <c r="U20" s="3" t="inlineStr"/>
      <c r="V20" s="3" t="inlineStr"/>
      <c r="W20" s="3" t="inlineStr"/>
      <c r="X20" s="3" t="inlineStr"/>
      <c r="Y20" s="3" t="inlineStr"/>
      <c r="Z20" s="3" t="inlineStr"/>
      <c r="AA20" s="4" t="inlineStr"/>
      <c r="AB20" s="4" t="inlineStr"/>
      <c r="AC20" s="3">
        <f>IF(AND(E20&lt;&gt;"",COUNTIF($E$2:$E$800,E20)&gt;1),"DUPLICATE","")</f>
        <v/>
      </c>
    </row>
    <row r="21">
      <c r="A21" s="3" t="inlineStr">
        <is>
          <t>global-korea-scholarship-gks-graduate-master</t>
        </is>
      </c>
      <c r="B21" s="3" t="inlineStr">
        <is>
          <t>Open</t>
        </is>
      </c>
      <c r="C21" s="3" t="inlineStr"/>
      <c r="D21" s="3" t="inlineStr">
        <is>
          <t>Scholarship</t>
        </is>
      </c>
      <c r="E21" s="3" t="inlineStr">
        <is>
          <t>Global Korea Scholarship (GKS) Graduate</t>
        </is>
      </c>
      <c r="F21" s="3" t="inlineStr">
        <is>
          <t>Government of South Korea — NIIED</t>
        </is>
      </c>
      <c r="G21" s="3" t="inlineStr">
        <is>
          <t>Asia</t>
        </is>
      </c>
      <c r="H21" s="3" t="inlineStr">
        <is>
          <t>South Korea</t>
        </is>
      </c>
      <c r="I21" s="3" t="inlineStr">
        <is>
          <t>Master</t>
        </is>
      </c>
      <c r="J21" s="3" t="inlineStr">
        <is>
          <t>All fields</t>
        </is>
      </c>
      <c r="K21" s="3" t="inlineStr">
        <is>
          <t>Full</t>
        </is>
      </c>
      <c r="L21" s="3" t="inlineStr">
        <is>
          <t>Full Ride (Full Tuition, KRW 1,000,000/mo Stipend, Research/Settlement Allowance, Airfare, 1-Yr Korean Prep)</t>
        </is>
      </c>
      <c r="M21" s="3" t="inlineStr">
        <is>
          <t>Feb – March (Embassy) / March – April (University)</t>
        </is>
      </c>
      <c r="N21" s="3" t="inlineStr">
        <is>
          <t>Bachelor’s degree; age under 40; minimum GPA 2.64/4.0 (or 80%+); all fields.</t>
        </is>
      </c>
      <c r="O21" s="3" t="inlineStr">
        <is>
          <t>High: Statement of Purpose + Global Network Study Plan + 2 Recommendation Letters</t>
        </is>
      </c>
      <c r="P21" s="3" t="inlineStr">
        <is>
          <t>Bachelor's Graduates Seeking Master's in South Korea</t>
        </is>
      </c>
      <c r="Q21" s="3"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21" s="3"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21" s="3" t="inlineStr">
        <is>
          <t>Document Screening (40%), Embassy/University Interviews (35%), Language/Academic Aptitude Assessment (25%).</t>
        </is>
      </c>
      <c r="T21" s="3" t="inlineStr">
        <is>
          <t>Multilingual graduates with strong GPAs who demonstrate clear alignment with South Korea's technological or cultural industries in their study plans.</t>
        </is>
      </c>
      <c r="U21" s="3" t="inlineStr"/>
      <c r="V21" s="3" t="inlineStr">
        <is>
          <t>https://www.studyinkorea.go.kr</t>
        </is>
      </c>
      <c r="W21" s="3" t="inlineStr"/>
      <c r="X21" s="3" t="inlineStr"/>
      <c r="Y21" s="3" t="inlineStr"/>
      <c r="Z21" s="3" t="inlineStr"/>
      <c r="AA21" s="4" t="inlineStr"/>
      <c r="AB21" s="4" t="inlineStr"/>
      <c r="AC21" s="3">
        <f>IF(AND(E21&lt;&gt;"",COUNTIF($E$2:$E$800,E21)&gt;1),"DUPLICATE","")</f>
        <v/>
      </c>
    </row>
    <row r="22">
      <c r="A22" s="3" t="inlineStr">
        <is>
          <t>mext-research-student-scholarship-master</t>
        </is>
      </c>
      <c r="B22" s="3" t="inlineStr">
        <is>
          <t>Open</t>
        </is>
      </c>
      <c r="C22" s="3" t="inlineStr"/>
      <c r="D22" s="3" t="inlineStr">
        <is>
          <t>Scholarship</t>
        </is>
      </c>
      <c r="E22" s="3" t="inlineStr">
        <is>
          <t>MEXT Research Student Scholarship</t>
        </is>
      </c>
      <c r="F22" s="3" t="inlineStr">
        <is>
          <t>Government of Japan — MEXT</t>
        </is>
      </c>
      <c r="G22" s="3" t="inlineStr">
        <is>
          <t>Asia</t>
        </is>
      </c>
      <c r="H22" s="3" t="inlineStr">
        <is>
          <t>Japan</t>
        </is>
      </c>
      <c r="I22" s="3" t="inlineStr">
        <is>
          <t>Master</t>
        </is>
      </c>
      <c r="J22" s="3" t="inlineStr">
        <is>
          <t>All fields</t>
        </is>
      </c>
      <c r="K22" s="3" t="inlineStr">
        <is>
          <t>Full</t>
        </is>
      </c>
      <c r="L22" s="3" t="inlineStr">
        <is>
          <t>Full Ride (Tuition, ¥144,000/mo Stipend, Round-Trip Airfare, Free Japanese Prep)</t>
        </is>
      </c>
      <c r="M22" s="3" t="inlineStr">
        <is>
          <t>April – June (Embassy track varies by country)</t>
        </is>
      </c>
      <c r="N22" s="3" t="inlineStr">
        <is>
          <t>Bachelor’s degree; age under 35; willing to conduct graduate research in Japan (English or Japanese tracks).</t>
        </is>
      </c>
      <c r="O22" s="3" t="inlineStr">
        <is>
          <t>High: Field of Study &amp; Research Program Plan + Placement Preference Form + Embassy Exams</t>
        </is>
      </c>
      <c r="P22" s="3" t="inlineStr">
        <is>
          <t>Bachelor's Graduates Seeking Research or Master's Degrees in Japan</t>
        </is>
      </c>
      <c r="Q22" s="3"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2" s="3"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2" s="3" t="inlineStr">
        <is>
          <t>Primary Screening by Embassies (Document review, English/Japanese written exams, and formal interview) → Secondary Screening by MEXT in Tokyo.</t>
        </is>
      </c>
      <c r="T22" s="3" t="inlineStr">
        <is>
          <t>Diligent science or humanities graduates who excel in embassy written exams and present a rigorous, feasible research proposal for their prospective Japanese laboratory.</t>
        </is>
      </c>
      <c r="U22" s="3" t="inlineStr"/>
      <c r="V22" s="3" t="inlineStr">
        <is>
          <t>https://www.studyinjapan.go.jp</t>
        </is>
      </c>
      <c r="W22" s="3" t="inlineStr"/>
      <c r="X22" s="3" t="inlineStr"/>
      <c r="Y22" s="3" t="inlineStr"/>
      <c r="Z22" s="3" t="inlineStr">
        <is>
          <t>Research</t>
        </is>
      </c>
      <c r="AA22" s="4" t="inlineStr"/>
      <c r="AB22" s="4" t="inlineStr"/>
      <c r="AC22" s="3">
        <f>IF(AND(E22&lt;&gt;"",COUNTIF($E$2:$E$800,E22)&gt;1),"DUPLICATE","")</f>
        <v/>
      </c>
    </row>
    <row r="23">
      <c r="A23" s="3" t="inlineStr">
        <is>
          <t>adb-japan-scholarship-program-adb-jsp-master</t>
        </is>
      </c>
      <c r="B23" s="3" t="inlineStr">
        <is>
          <t>Open</t>
        </is>
      </c>
      <c r="C23" s="3" t="inlineStr"/>
      <c r="D23" s="3" t="inlineStr">
        <is>
          <t>Scholarship</t>
        </is>
      </c>
      <c r="E23" s="3" t="inlineStr">
        <is>
          <t>ADB-Japan Scholarship Program (ADB-JSP)</t>
        </is>
      </c>
      <c r="F23" s="3" t="inlineStr">
        <is>
          <t>Asian Development Bank &amp; Gov. of Japan</t>
        </is>
      </c>
      <c r="G23" s="3" t="inlineStr">
        <is>
          <t>Asia</t>
        </is>
      </c>
      <c r="H23" s="3" t="inlineStr">
        <is>
          <t>Japan</t>
        </is>
      </c>
      <c r="I23" s="3" t="inlineStr">
        <is>
          <t>Master</t>
        </is>
      </c>
      <c r="J23" s="3" t="inlineStr">
        <is>
          <t>Mathematics &amp; Natural Sciences, Business, Economics &amp; Management</t>
        </is>
      </c>
      <c r="K23" s="3" t="inlineStr">
        <is>
          <t>Full</t>
        </is>
      </c>
      <c r="L23" s="3" t="inlineStr">
        <is>
          <t>Full Ride (Full Tuition, Monthly Subsistence &amp; Housing Allowance, Books, Medical Insurance, Airfare)</t>
        </is>
      </c>
      <c r="M23" s="3" t="inlineStr">
        <is>
          <t>Varies (Typically 3–6 months prior to intake)</t>
        </is>
      </c>
      <c r="N23" s="3" t="inlineStr">
        <is>
          <t>Citizen of ADB developing member country; Bachelor’s degree; minimum 2 years full-time professional experience; Economics, Management, Science, and Development fields.</t>
        </is>
      </c>
      <c r="O23" s="3" t="inlineStr">
        <is>
          <t>High: Admission Letter to Partner Univ + Income Proofs + Employer Certificate + 2 References</t>
        </is>
      </c>
      <c r="P23" s="3" t="inlineStr">
        <is>
          <t>Mid-Career Professionals from Developing Asian/Pacific Nations</t>
        </is>
      </c>
      <c r="Q23" s="3" t="inlineStr"/>
      <c r="R23" s="3" t="inlineStr"/>
      <c r="S23" s="3" t="inlineStr"/>
      <c r="T23" s="3" t="inlineStr"/>
      <c r="U23" s="3" t="inlineStr"/>
      <c r="V23" s="3" t="inlineStr"/>
      <c r="W23" s="3" t="inlineStr"/>
      <c r="X23" s="3" t="inlineStr"/>
      <c r="Y23" s="3" t="inlineStr"/>
      <c r="Z23" s="3" t="inlineStr">
        <is>
          <t>STEM, Work experience</t>
        </is>
      </c>
      <c r="AA23" s="4" t="inlineStr"/>
      <c r="AB23" s="4" t="inlineStr"/>
      <c r="AC23" s="3">
        <f>IF(AND(E23&lt;&gt;"",COUNTIF($E$2:$E$800,E23)&gt;1),"DUPLICATE","")</f>
        <v/>
      </c>
    </row>
    <row r="24">
      <c r="A24" s="3" t="inlineStr">
        <is>
          <t>schwarzman-scholars-master-s-program-master</t>
        </is>
      </c>
      <c r="B24" s="3" t="inlineStr">
        <is>
          <t>Open</t>
        </is>
      </c>
      <c r="C24" s="3" t="inlineStr"/>
      <c r="D24" s="3" t="inlineStr">
        <is>
          <t>Scholarship</t>
        </is>
      </c>
      <c r="E24" s="3" t="inlineStr">
        <is>
          <t>Schwarzman Scholars Master’s Program</t>
        </is>
      </c>
      <c r="F24" s="3" t="inlineStr">
        <is>
          <t>Tsinghua University, Beijing, China</t>
        </is>
      </c>
      <c r="G24" s="3" t="inlineStr">
        <is>
          <t>Asia</t>
        </is>
      </c>
      <c r="H24" s="3" t="inlineStr">
        <is>
          <t>China</t>
        </is>
      </c>
      <c r="I24" s="3" t="inlineStr">
        <is>
          <t>Master</t>
        </is>
      </c>
      <c r="J24" s="3" t="inlineStr">
        <is>
          <t>All fields</t>
        </is>
      </c>
      <c r="K24" s="3" t="inlineStr">
        <is>
          <t>Full</t>
        </is>
      </c>
      <c r="L24" s="3" t="inlineStr">
        <is>
          <t>Full Ride (Full Tuition, Living Stipend, Room &amp; Board, Tours, Travel, Laptop, Health Insurance)</t>
        </is>
      </c>
      <c r="M24" s="3" t="inlineStr">
        <is>
          <t>September (Annual deadline for following year)</t>
        </is>
      </c>
      <c r="N24" s="3" t="inlineStr">
        <is>
          <t>Age 18 to 29; Bachelor’s degree in any field; exceptional leadership qualities and strong English proficiency.</t>
        </is>
      </c>
      <c r="O24" s="3" t="inlineStr">
        <is>
          <t>Very High: 3 Letters of Recommendation + Video Essay + 3 Short Personal Statements + Institutional Endorsement</t>
        </is>
      </c>
      <c r="P24" s="3" t="inlineStr">
        <is>
          <t>Elite Young Global Leaders and Public Policy Aspirants</t>
        </is>
      </c>
      <c r="Q24" s="3" t="inlineStr"/>
      <c r="R24" s="3" t="inlineStr"/>
      <c r="S24" s="3" t="inlineStr"/>
      <c r="T24" s="3" t="inlineStr"/>
      <c r="U24" s="3" t="inlineStr"/>
      <c r="V24" s="3" t="inlineStr"/>
      <c r="W24" s="3" t="inlineStr"/>
      <c r="X24" s="3" t="inlineStr"/>
      <c r="Y24" s="3" t="inlineStr"/>
      <c r="Z24" s="3" t="inlineStr"/>
      <c r="AA24" s="4" t="inlineStr"/>
      <c r="AB24" s="4" t="inlineStr"/>
      <c r="AC24" s="3">
        <f>IF(AND(E24&lt;&gt;"",COUNTIF($E$2:$E$800,E24)&gt;1),"DUPLICATE","")</f>
        <v/>
      </c>
    </row>
    <row r="25">
      <c r="A25" s="3" t="inlineStr">
        <is>
          <t>malaysia-international-scholarship-mis-master</t>
        </is>
      </c>
      <c r="B25" s="3" t="inlineStr">
        <is>
          <t>Open</t>
        </is>
      </c>
      <c r="C25" s="3" t="inlineStr"/>
      <c r="D25" s="3" t="inlineStr">
        <is>
          <t>Scholarship</t>
        </is>
      </c>
      <c r="E25" s="3" t="inlineStr">
        <is>
          <t>Malaysia International Scholarship (MIS)</t>
        </is>
      </c>
      <c r="F25" s="3" t="inlineStr">
        <is>
          <t>Government of Malaysia</t>
        </is>
      </c>
      <c r="G25" s="3" t="inlineStr">
        <is>
          <t>Asia</t>
        </is>
      </c>
      <c r="H25" s="3" t="inlineStr">
        <is>
          <t>Malaysia</t>
        </is>
      </c>
      <c r="I25" s="3" t="inlineStr">
        <is>
          <t>Master</t>
        </is>
      </c>
      <c r="J25" s="3" t="inlineStr">
        <is>
          <t>All fields</t>
        </is>
      </c>
      <c r="K25" s="3" t="inlineStr">
        <is>
          <t>Full</t>
        </is>
      </c>
      <c r="L25" s="3" t="inlineStr">
        <is>
          <t>Full Ride (Full Tuition, MYR 3,000/mo Living Allowance, Airfare, Health Insurance)</t>
        </is>
      </c>
      <c r="M25" s="3" t="inlineStr">
        <is>
          <t>April – May (Annual call)</t>
        </is>
      </c>
      <c r="N25" s="3" t="inlineStr">
        <is>
          <t>Citizen from select developing/Commonwealth/ASEAN nations; age under 45; Bachelor’s degree with minimum Second Class Upper (2:1) or GPA 3.5/4.0.</t>
        </is>
      </c>
      <c r="O25" s="3" t="inlineStr">
        <is>
          <t>Medium: University Admission Offer + Research Proposal + 2 Recommendation Letters</t>
        </is>
      </c>
      <c r="P25" s="3" t="inlineStr">
        <is>
          <t>Postgraduate Candidates Seeking English-Medium Study in Malaysia</t>
        </is>
      </c>
      <c r="Q25" s="3" t="inlineStr"/>
      <c r="R25" s="3" t="inlineStr"/>
      <c r="S25" s="3" t="inlineStr"/>
      <c r="T25" s="3" t="inlineStr"/>
      <c r="U25" s="3" t="inlineStr"/>
      <c r="V25" s="3" t="inlineStr"/>
      <c r="W25" s="3" t="inlineStr"/>
      <c r="X25" s="3" t="inlineStr"/>
      <c r="Y25" s="3" t="inlineStr"/>
      <c r="Z25" s="3" t="inlineStr"/>
      <c r="AA25" s="4" t="inlineStr"/>
      <c r="AB25" s="4" t="inlineStr"/>
      <c r="AC25" s="3">
        <f>IF(AND(E25&lt;&gt;"",COUNTIF($E$2:$E$800,E25)&gt;1),"DUPLICATE","")</f>
        <v/>
      </c>
    </row>
    <row r="26">
      <c r="A26" s="3" t="inlineStr">
        <is>
          <t>singapore-international-graduate-award-singa-phd</t>
        </is>
      </c>
      <c r="B26" s="3" t="inlineStr">
        <is>
          <t>Open</t>
        </is>
      </c>
      <c r="C26" s="3" t="inlineStr"/>
      <c r="D26" s="3" t="inlineStr">
        <is>
          <t>Scholarship</t>
        </is>
      </c>
      <c r="E26" s="3" t="inlineStr">
        <is>
          <t>Singapore International Graduate Award (SINGA)</t>
        </is>
      </c>
      <c r="F26" s="3" t="inlineStr">
        <is>
          <t>A*STAR, NUS, NTU, SUTD — Singapore</t>
        </is>
      </c>
      <c r="G26" s="3" t="inlineStr">
        <is>
          <t>Asia</t>
        </is>
      </c>
      <c r="H26" s="3" t="inlineStr">
        <is>
          <t>Singapore</t>
        </is>
      </c>
      <c r="I26" s="3" t="inlineStr">
        <is>
          <t>PhD</t>
        </is>
      </c>
      <c r="J26" s="3" t="inlineStr">
        <is>
          <t>Engineering &amp; Technology, Mathematics &amp; Natural Sciences</t>
        </is>
      </c>
      <c r="K26" s="3" t="inlineStr">
        <is>
          <t>Full</t>
        </is>
      </c>
      <c r="L26" s="3" t="inlineStr">
        <is>
          <t>Full Ride + Monthly Stipend (Full Tuition, SGD 2,200–2,700/mo Stipend, SGD 1,000 Settlement Grant, Airfare)</t>
        </is>
      </c>
      <c r="M26" s="3" t="inlineStr">
        <is>
          <t>June 1 (Jan Intake) / Dec 1 (August Intake)</t>
        </is>
      </c>
      <c r="N26" s="3" t="inlineStr">
        <is>
          <t>Open to all international students; excellent academic results in Bachelor’s or Master’s; strong passion for Research in Science and Engineering.</t>
        </is>
      </c>
      <c r="O26" s="3" t="inlineStr">
        <is>
          <t>High: Research Interest Statement + Academic Transcripts + 2 Academic Referee Reports</t>
        </is>
      </c>
      <c r="P26" s="3" t="inlineStr">
        <is>
          <t>STEM &amp; Engineering Doctoral Researchers</t>
        </is>
      </c>
      <c r="Q26" s="3" t="inlineStr">
        <is>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is>
      </c>
      <c r="R26" s="3" t="inlineStr">
        <is>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is>
      </c>
      <c r="S26" s="3" t="inlineStr">
        <is>
          <t>Academic Merit &amp; University Ranking (40%), Research Experience &amp; Publications (40%), Referee Credibility &amp; Statement Alignment (20%).</t>
        </is>
      </c>
      <c r="T26" s="3" t="inlineStr">
        <is>
          <t>Exceptional STEM graduates who have prior undergraduate laboratory exposure, strong physics/coding/biology backgrounds, and clear ambitions for industrial or academic research careers.</t>
        </is>
      </c>
      <c r="U26" s="3" t="inlineStr"/>
      <c r="V26" s="3" t="inlineStr">
        <is>
          <t>https://www.a-star.edu.sg/scholarships/for-graduate-studies/singapore-international-graduate-award-singa</t>
        </is>
      </c>
      <c r="W26" s="3" t="inlineStr"/>
      <c r="X26" s="3" t="inlineStr"/>
      <c r="Y26" s="3" t="inlineStr"/>
      <c r="Z26" s="3" t="inlineStr">
        <is>
          <t>STEM, Research</t>
        </is>
      </c>
      <c r="AA26" s="4" t="inlineStr"/>
      <c r="AB26" s="4" t="inlineStr"/>
      <c r="AC26" s="3">
        <f>IF(AND(E26&lt;&gt;"",COUNTIF($E$2:$E$800,E26)&gt;1),"DUPLICATE","")</f>
        <v/>
      </c>
    </row>
    <row r="27">
      <c r="A27" s="3" t="inlineStr">
        <is>
          <t>hong-kong-phd-fellowship-scheme-hkpfs-phd</t>
        </is>
      </c>
      <c r="B27" s="3" t="inlineStr">
        <is>
          <t>Open</t>
        </is>
      </c>
      <c r="C27" s="3" t="inlineStr"/>
      <c r="D27" s="3" t="inlineStr">
        <is>
          <t>Scholarship</t>
        </is>
      </c>
      <c r="E27" s="3" t="inlineStr">
        <is>
          <t>Hong Kong PhD Fellowship Scheme (HKPFS)</t>
        </is>
      </c>
      <c r="F27" s="3" t="inlineStr">
        <is>
          <t>RGC — Hong Kong</t>
        </is>
      </c>
      <c r="G27" s="3" t="inlineStr">
        <is>
          <t>Asia</t>
        </is>
      </c>
      <c r="H27" s="3" t="inlineStr">
        <is>
          <t>Hong Kong</t>
        </is>
      </c>
      <c r="I27" s="3" t="inlineStr">
        <is>
          <t>PhD</t>
        </is>
      </c>
      <c r="J27" s="3" t="inlineStr">
        <is>
          <t>All fields</t>
        </is>
      </c>
      <c r="K27" s="3" t="inlineStr">
        <is>
          <t>Stipend</t>
        </is>
      </c>
      <c r="L27" s="3" t="inlineStr">
        <is>
          <t>Generous Support (HK$331,600 / ~USD 42,500 annual stipend + HK$13,600/yr conference/travel allowance for 3 years)</t>
        </is>
      </c>
      <c r="M27" s="3" t="inlineStr">
        <is>
          <t>December (Annual cycle)</t>
        </is>
      </c>
      <c r="N27" s="3" t="inlineStr">
        <is>
          <t>Exceptional academic performance and research ability at world-ranked Hong Kong universities (HKU, CUHK, HKUST, CityU, PolyU, HKBU).</t>
        </is>
      </c>
      <c r="O27" s="3" t="inlineStr">
        <is>
          <t>Very High: Detailed Research Proposal + Academic Publications/Awards + 2 Expert Referee Reports</t>
        </is>
      </c>
      <c r="P27" s="3" t="inlineStr">
        <is>
          <t>Top-Tier Global PhD Researchers in Any Discipline</t>
        </is>
      </c>
      <c r="Q27" s="3" t="inlineStr"/>
      <c r="R27" s="3" t="inlineStr"/>
      <c r="S27" s="3" t="inlineStr"/>
      <c r="T27" s="3" t="inlineStr"/>
      <c r="U27" s="3" t="inlineStr"/>
      <c r="V27" s="3" t="inlineStr"/>
      <c r="W27" s="3" t="inlineStr"/>
      <c r="X27" s="3" t="inlineStr"/>
      <c r="Y27" s="3" t="inlineStr"/>
      <c r="Z27" s="3" t="inlineStr">
        <is>
          <t>Research</t>
        </is>
      </c>
      <c r="AA27" s="4" t="inlineStr"/>
      <c r="AB27" s="4" t="inlineStr"/>
      <c r="AC27" s="3">
        <f>IF(AND(E27&lt;&gt;"",COUNTIF($E$2:$E$800,E27)&gt;1),"DUPLICATE","")</f>
        <v/>
      </c>
    </row>
    <row r="28">
      <c r="A28" s="3" t="inlineStr">
        <is>
          <t>mext-university-recommendation-phd-scholarship-phd</t>
        </is>
      </c>
      <c r="B28" s="3" t="inlineStr">
        <is>
          <t>Open</t>
        </is>
      </c>
      <c r="C28" s="3" t="inlineStr"/>
      <c r="D28" s="3" t="inlineStr">
        <is>
          <t>Scholarship</t>
        </is>
      </c>
      <c r="E28" s="3" t="inlineStr">
        <is>
          <t>MEXT University Recommendation PhD Scholarship</t>
        </is>
      </c>
      <c r="F28" s="3" t="inlineStr">
        <is>
          <t>Top Japanese Imperial Universities — Tokyo, Kyoto, Osaka</t>
        </is>
      </c>
      <c r="G28" s="3" t="inlineStr">
        <is>
          <t>Asia</t>
        </is>
      </c>
      <c r="H28" s="3" t="inlineStr">
        <is>
          <t>Japan</t>
        </is>
      </c>
      <c r="I28" s="3" t="inlineStr">
        <is>
          <t>PhD</t>
        </is>
      </c>
      <c r="J28" s="3" t="inlineStr">
        <is>
          <t>All fields</t>
        </is>
      </c>
      <c r="K28" s="3" t="inlineStr">
        <is>
          <t>Full</t>
        </is>
      </c>
      <c r="L28" s="3" t="inlineStr">
        <is>
          <t>Full Ride (Tuition, ¥145,000/mo Stipend, Round-Trip Airfare)</t>
        </is>
      </c>
      <c r="M28" s="3" t="inlineStr">
        <is>
          <t>Dec – Feb (Handled directly via host university lab)</t>
        </is>
      </c>
      <c r="N28" s="3" t="inlineStr">
        <is>
          <t>Master’s degree; age under 35; accepted into a doctoral supervisor's lab at a participating Japanese national university.</t>
        </is>
      </c>
      <c r="O28" s="3" t="inlineStr">
        <is>
          <t>High: Official Acceptance from Japanese Professor + Detailed Doctoral Research Proposal</t>
        </is>
      </c>
      <c r="P28" s="3" t="inlineStr">
        <is>
          <t>Master's Graduates with Direct Professor Connections in Japan</t>
        </is>
      </c>
      <c r="Q28" s="3"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8" s="3"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8" s="3" t="inlineStr">
        <is>
          <t>Primary Screening by Embassies (Document review, English/Japanese written exams, and formal interview) → Secondary Screening by MEXT in Tokyo.</t>
        </is>
      </c>
      <c r="T28" s="3" t="inlineStr">
        <is>
          <t>Diligent science or humanities graduates who excel in embassy written exams and present a rigorous, feasible research proposal for their prospective Japanese laboratory.</t>
        </is>
      </c>
      <c r="U28" s="3" t="inlineStr"/>
      <c r="V28" s="3" t="inlineStr">
        <is>
          <t>https://www.studyinjapan.go.jp</t>
        </is>
      </c>
      <c r="W28" s="3" t="inlineStr"/>
      <c r="X28" s="3" t="inlineStr"/>
      <c r="Y28" s="3" t="inlineStr"/>
      <c r="Z28" s="3" t="inlineStr"/>
      <c r="AA28" s="4" t="inlineStr"/>
      <c r="AB28" s="4" t="inlineStr"/>
      <c r="AC28" s="3">
        <f>IF(AND(E28&lt;&gt;"",COUNTIF($E$2:$E$800,E28)&gt;1),"DUPLICATE","")</f>
        <v/>
      </c>
    </row>
    <row r="29">
      <c r="A29" s="3" t="inlineStr">
        <is>
          <t>mofa-taiwan-fellowship-phd</t>
        </is>
      </c>
      <c r="B29" s="3" t="inlineStr">
        <is>
          <t>Open</t>
        </is>
      </c>
      <c r="C29" s="3" t="inlineStr"/>
      <c r="D29" s="3" t="inlineStr">
        <is>
          <t>Scholarship</t>
        </is>
      </c>
      <c r="E29" s="3" t="inlineStr">
        <is>
          <t>MOFA Taiwan Fellowship</t>
        </is>
      </c>
      <c r="F29" s="3" t="inlineStr">
        <is>
          <t>Ministry of Foreign Affairs, Taiwan</t>
        </is>
      </c>
      <c r="G29" s="3" t="inlineStr">
        <is>
          <t>Asia</t>
        </is>
      </c>
      <c r="H29" s="3" t="inlineStr">
        <is>
          <t>Taiwan</t>
        </is>
      </c>
      <c r="I29" s="3" t="inlineStr">
        <is>
          <t>PhD</t>
        </is>
      </c>
      <c r="J29" s="3" t="inlineStr">
        <is>
          <t>Social Sciences &amp; Humanities</t>
        </is>
      </c>
      <c r="K29" s="3" t="inlineStr">
        <is>
          <t>Stipend</t>
        </is>
      </c>
      <c r="L29" s="3" t="inlineStr">
        <is>
          <t>Monthly Research Grant (NT$50,000 to NT$60,000 / ~$1,600–$2,000/mo + Airfare)</t>
        </is>
      </c>
      <c r="M29" s="3" t="inlineStr">
        <is>
          <t>June 30 (Annual call)</t>
        </is>
      </c>
      <c r="N29" s="3" t="inlineStr">
        <is>
          <t>Foreign professors, postdoctoral researchers, and PhD candidates conducting advanced research on Taiwan, cross-strait relations, or Indo-Pacific studies.</t>
        </is>
      </c>
      <c r="O29" s="3" t="inlineStr">
        <is>
          <t>Medium: Research Proposal + Curriculum Vitae + 2 Letters of Recommendation</t>
        </is>
      </c>
      <c r="P29" s="3" t="inlineStr">
        <is>
          <t>Advanced PhD Scholars and Researchers in Social Sciences/Humanities</t>
        </is>
      </c>
      <c r="Q29" s="3" t="inlineStr"/>
      <c r="R29" s="3" t="inlineStr"/>
      <c r="S29" s="3" t="inlineStr"/>
      <c r="T29" s="3" t="inlineStr"/>
      <c r="U29" s="3" t="inlineStr"/>
      <c r="V29" s="3" t="inlineStr"/>
      <c r="W29" s="3" t="inlineStr"/>
      <c r="X29" s="3" t="inlineStr"/>
      <c r="Y29" s="3" t="inlineStr"/>
      <c r="Z29" s="3" t="inlineStr">
        <is>
          <t>Research</t>
        </is>
      </c>
      <c r="AA29" s="4" t="inlineStr"/>
      <c r="AB29" s="4" t="inlineStr"/>
      <c r="AC29" s="3">
        <f>IF(AND(E29&lt;&gt;"",COUNTIF($E$2:$E$800,E29)&gt;1),"DUPLICATE","")</f>
        <v/>
      </c>
    </row>
    <row r="30">
      <c r="A30" s="3" t="inlineStr">
        <is>
          <t>stipendium-hungaricum-undergraduate-track-bachelor</t>
        </is>
      </c>
      <c r="B30" s="3" t="inlineStr">
        <is>
          <t>Open</t>
        </is>
      </c>
      <c r="C30" s="3" t="inlineStr"/>
      <c r="D30" s="3" t="inlineStr">
        <is>
          <t>Scholarship</t>
        </is>
      </c>
      <c r="E30" s="3" t="inlineStr">
        <is>
          <t>Stipendium Hungaricum (Undergraduate Track)</t>
        </is>
      </c>
      <c r="F30" s="3" t="inlineStr">
        <is>
          <t>Gov. of Hungary &amp; Tempus Public Foundation</t>
        </is>
      </c>
      <c r="G30" s="3" t="inlineStr">
        <is>
          <t>Europe</t>
        </is>
      </c>
      <c r="H30" s="3" t="inlineStr">
        <is>
          <t>Hungary</t>
        </is>
      </c>
      <c r="I30" s="3" t="inlineStr">
        <is>
          <t>Bachelor</t>
        </is>
      </c>
      <c r="J30" s="3" t="inlineStr">
        <is>
          <t>Engineering &amp; Technology, Health &amp; Life Sciences, Business, Economics &amp; Management, Architecture, Arts &amp; Design</t>
        </is>
      </c>
      <c r="K30" s="3" t="inlineStr">
        <is>
          <t>Full</t>
        </is>
      </c>
      <c r="L30" s="3" t="inlineStr">
        <is>
          <t>Full Ride (Tuition-free, Dormitory housing or housing allowance, HUF 43,700/mo stipend, Medical insurance)</t>
        </is>
      </c>
      <c r="M30" s="3" t="inlineStr">
        <is>
          <t>January 15 (Annual cycle)</t>
        </is>
      </c>
      <c r="N30" s="3" t="inlineStr">
        <is>
          <t>International students from eligible partner countries; high school diploma with good standing; fields spanning engineering, medicine, arts, and business.</t>
        </is>
      </c>
      <c r="O30" s="3" t="inlineStr">
        <is>
          <t>Medium: Online application + Medical Certificate + High School Transcripts + Motivation Letter</t>
        </is>
      </c>
      <c r="P30" s="3" t="inlineStr">
        <is>
          <t>High School Graduates Seeking Full Sponsorship in Central Europe</t>
        </is>
      </c>
      <c r="Q30" s="3" t="inlineStr"/>
      <c r="R30" s="3" t="inlineStr"/>
      <c r="S30" s="3" t="inlineStr"/>
      <c r="T30" s="3" t="inlineStr"/>
      <c r="U30" s="3" t="inlineStr"/>
      <c r="V30" s="3" t="inlineStr"/>
      <c r="W30" s="3" t="inlineStr"/>
      <c r="X30" s="3" t="inlineStr"/>
      <c r="Y30" s="3" t="inlineStr"/>
      <c r="Z30" s="3" t="inlineStr">
        <is>
          <t>STEM</t>
        </is>
      </c>
      <c r="AA30" s="4" t="inlineStr"/>
      <c r="AB30" s="4" t="inlineStr"/>
      <c r="AC30" s="3">
        <f>IF(AND(E30&lt;&gt;"",COUNTIF($E$2:$E$800,E30)&gt;1),"DUPLICATE","")</f>
        <v/>
      </c>
    </row>
    <row r="31">
      <c r="A31" s="3" t="inlineStr">
        <is>
          <t>t-rkiye-burslar-undergraduate-scholarship-bachelor</t>
        </is>
      </c>
      <c r="B31" s="3" t="inlineStr">
        <is>
          <t>Open</t>
        </is>
      </c>
      <c r="C31" s="3" t="inlineStr"/>
      <c r="D31" s="3" t="inlineStr">
        <is>
          <t>Scholarship</t>
        </is>
      </c>
      <c r="E31" s="3" t="inlineStr">
        <is>
          <t>Türkiye Bursları Undergraduate Scholarship</t>
        </is>
      </c>
      <c r="F31" s="3" t="inlineStr">
        <is>
          <t>Government of Turkey</t>
        </is>
      </c>
      <c r="G31" s="3" t="inlineStr">
        <is>
          <t>Europe</t>
        </is>
      </c>
      <c r="H31" s="3" t="inlineStr">
        <is>
          <t>Turkey</t>
        </is>
      </c>
      <c r="I31" s="3" t="inlineStr">
        <is>
          <t>Bachelor</t>
        </is>
      </c>
      <c r="J31" s="3" t="inlineStr">
        <is>
          <t>Health &amp; Life Sciences</t>
        </is>
      </c>
      <c r="K31" s="3" t="inlineStr">
        <is>
          <t>Full</t>
        </is>
      </c>
      <c r="L31" s="3" t="inlineStr">
        <is>
          <t>Full Ride (Tuition, University Placement, Accommodation, Health Insurance, Turkish Language Course, Airfare)</t>
        </is>
      </c>
      <c r="M31" s="3" t="inlineStr">
        <is>
          <t>February 20 (Annual cycle)</t>
        </is>
      </c>
      <c r="N31" s="3" t="inlineStr">
        <is>
          <t>International students worldwide; high school graduate; age under 21; minimum 70% grade average for general tracks (90% for medical tracks).</t>
        </is>
      </c>
      <c r="O31" s="3" t="inlineStr">
        <is>
          <t>High: Online Application + Letter of Intent + Reference Letters + Extracurricular Portfolio</t>
        </is>
      </c>
      <c r="P31" s="3" t="inlineStr">
        <is>
          <t>High School Seniors Under 21 Seeking Comprehensive State Funding</t>
        </is>
      </c>
      <c r="Q31" s="3" t="inlineStr"/>
      <c r="R31" s="3" t="inlineStr"/>
      <c r="S31" s="3" t="inlineStr"/>
      <c r="T31" s="3" t="inlineStr"/>
      <c r="U31" s="3" t="inlineStr"/>
      <c r="V31" s="3" t="inlineStr"/>
      <c r="W31" s="3" t="inlineStr"/>
      <c r="X31" s="3" t="inlineStr"/>
      <c r="Y31" s="3" t="inlineStr"/>
      <c r="Z31" s="3" t="inlineStr"/>
      <c r="AA31" s="4" t="inlineStr"/>
      <c r="AB31" s="4" t="inlineStr"/>
      <c r="AC31" s="3">
        <f>IF(AND(E31&lt;&gt;"",COUNTIF($E$2:$E$800,E31)&gt;1),"DUPLICATE","")</f>
        <v/>
      </c>
    </row>
    <row r="32">
      <c r="A32" s="3" t="inlineStr">
        <is>
          <t>nl-scholarship-holland-scholarship-bachelor</t>
        </is>
      </c>
      <c r="B32" s="3" t="inlineStr">
        <is>
          <t>Open</t>
        </is>
      </c>
      <c r="C32" s="3" t="inlineStr"/>
      <c r="D32" s="3" t="inlineStr">
        <is>
          <t>Scholarship</t>
        </is>
      </c>
      <c r="E32" s="3" t="inlineStr">
        <is>
          <t>NL Scholarship (Holland Scholarship)</t>
        </is>
      </c>
      <c r="F32" s="3" t="inlineStr">
        <is>
          <t>Dutch Ministry of Education &amp; Dutch Universities</t>
        </is>
      </c>
      <c r="G32" s="3" t="inlineStr">
        <is>
          <t>Europe</t>
        </is>
      </c>
      <c r="H32" s="3" t="inlineStr">
        <is>
          <t>Netherlands</t>
        </is>
      </c>
      <c r="I32" s="3" t="inlineStr">
        <is>
          <t>Bachelor</t>
        </is>
      </c>
      <c r="J32" s="3" t="inlineStr">
        <is>
          <t>Mathematics &amp; Natural Sciences</t>
        </is>
      </c>
      <c r="K32" s="3" t="inlineStr">
        <is>
          <t>Partial</t>
        </is>
      </c>
      <c r="L32" s="3" t="inlineStr">
        <is>
          <t>€5,000 Partial Grant (Paid out as a lump sum during the first year of study)</t>
        </is>
      </c>
      <c r="M32" s="3" t="inlineStr">
        <is>
          <t>May 1 or June 1 (Varies by participating Dutch university)</t>
        </is>
      </c>
      <c r="N32" s="3" t="inlineStr">
        <is>
          <t>Non-EEA international students admitted to a participating Bachelor’s or Master’s program at a Dutch research university or university of applied sciences.</t>
        </is>
      </c>
      <c r="O32" s="3" t="inlineStr">
        <is>
          <t>Low-Medium: University Admission + Separate NL Scholarship Motivation Statement</t>
        </is>
      </c>
      <c r="P32" s="3" t="inlineStr">
        <is>
          <t>Students Seeking Partial Support in the Netherlands</t>
        </is>
      </c>
      <c r="Q32" s="3" t="inlineStr"/>
      <c r="R32" s="3" t="inlineStr"/>
      <c r="S32" s="3" t="inlineStr"/>
      <c r="T32" s="3" t="inlineStr"/>
      <c r="U32" s="3" t="inlineStr"/>
      <c r="V32" s="3" t="inlineStr"/>
      <c r="W32" s="3" t="inlineStr"/>
      <c r="X32" s="3" t="inlineStr"/>
      <c r="Y32" s="3" t="inlineStr"/>
      <c r="Z32" s="3" t="inlineStr">
        <is>
          <t>STEM</t>
        </is>
      </c>
      <c r="AA32" s="4" t="inlineStr"/>
      <c r="AB32" s="4" t="inlineStr"/>
      <c r="AC32" s="3">
        <f>IF(AND(E32&lt;&gt;"",COUNTIF($E$2:$E$800,E32)&gt;1),"DUPLICATE","")</f>
        <v/>
      </c>
    </row>
    <row r="33">
      <c r="A33" s="3" t="inlineStr">
        <is>
          <t>erasmus-mundus-joint-master-s-emjm-master</t>
        </is>
      </c>
      <c r="B33" s="3" t="inlineStr">
        <is>
          <t>Open</t>
        </is>
      </c>
      <c r="C33" s="3" t="inlineStr"/>
      <c r="D33" s="3" t="inlineStr">
        <is>
          <t>Scholarship</t>
        </is>
      </c>
      <c r="E33" s="3" t="inlineStr">
        <is>
          <t>Erasmus Mundus Joint Master’s (EMJM)</t>
        </is>
      </c>
      <c r="F33" s="3" t="inlineStr">
        <is>
          <t>European Union</t>
        </is>
      </c>
      <c r="G33" s="3" t="inlineStr">
        <is>
          <t>Europe</t>
        </is>
      </c>
      <c r="H33" s="3" t="inlineStr"/>
      <c r="I33" s="3" t="inlineStr">
        <is>
          <t>Master</t>
        </is>
      </c>
      <c r="J33" s="3" t="inlineStr">
        <is>
          <t>All fields</t>
        </is>
      </c>
      <c r="K33" s="3" t="inlineStr">
        <is>
          <t>Full</t>
        </is>
      </c>
      <c r="L33" s="3" t="inlineStr">
        <is>
          <t>Full Ride (€1,400/month living allowance + full tuition waiver + travel &amp; installation costs)</t>
        </is>
      </c>
      <c r="M33" s="3" t="inlineStr">
        <is>
          <t>Oct – Jan (Varies by individual consortium programme; e.g., Dec/Jan)</t>
        </is>
      </c>
      <c r="N33" s="3" t="inlineStr">
        <is>
          <t>Open to all nationalities worldwide; holder of a Bachelor’s degree; excellent academic record; study across 2 to 4 different European universities.</t>
        </is>
      </c>
      <c r="O33" s="3" t="inlineStr">
        <is>
          <t>High: Tailored Motivation Letters per Consortium + CV + 2 Recommendation Letters + English Proof</t>
        </is>
      </c>
      <c r="P33" s="3" t="inlineStr">
        <is>
          <t>Elite Master's Candidates Wanting Multi-Country European Mobility</t>
        </is>
      </c>
      <c r="Q33" s="3" t="inlineStr">
        <is>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is>
      </c>
      <c r="R33" s="3" t="inlineStr">
        <is>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is>
      </c>
      <c r="S33" s="3" t="inlineStr">
        <is>
          <t>Academic excellence &amp; GPA (40%), Relevance of background field &amp; work experience (30%), Quality of motivation letter &amp; recommendation strength (30%).</t>
        </is>
      </c>
      <c r="T33" s="3" t="inlineStr">
        <is>
          <t>Globally minded graduates with strong interdisciplinary backgrounds who articulate clear cross-cultural adaptability and clear career goals in international organizations, research, or industry.</t>
        </is>
      </c>
      <c r="U33" s="3" t="inlineStr"/>
      <c r="V33" s="3" t="inlineStr">
        <is>
          <t>https://www.eacea.ec.europa.eu/scholarships/erasmus-mundus-catalogue_en</t>
        </is>
      </c>
      <c r="W33" s="3" t="inlineStr"/>
      <c r="X33" s="3" t="inlineStr"/>
      <c r="Y33" s="3" t="inlineStr"/>
      <c r="Z33" s="3" t="inlineStr"/>
      <c r="AA33" s="4" t="inlineStr"/>
      <c r="AB33" s="4" t="inlineStr"/>
      <c r="AC33" s="3">
        <f>IF(AND(E33&lt;&gt;"",COUNTIF($E$2:$E$800,E33)&gt;1),"DUPLICATE","")</f>
        <v/>
      </c>
    </row>
    <row r="34">
      <c r="A34" s="3" t="inlineStr">
        <is>
          <t>france-excellence-eiffel-scholarship-master</t>
        </is>
      </c>
      <c r="B34" s="3" t="inlineStr">
        <is>
          <t>Open</t>
        </is>
      </c>
      <c r="C34" s="3" t="inlineStr"/>
      <c r="D34" s="3" t="inlineStr">
        <is>
          <t>Scholarship</t>
        </is>
      </c>
      <c r="E34" s="3" t="inlineStr">
        <is>
          <t>France Excellence Eiffel Scholarship</t>
        </is>
      </c>
      <c r="F34" s="3" t="inlineStr">
        <is>
          <t>French Ministry for Europe and Foreign Affairs</t>
        </is>
      </c>
      <c r="G34" s="3" t="inlineStr">
        <is>
          <t>Europe</t>
        </is>
      </c>
      <c r="H34" s="3" t="inlineStr">
        <is>
          <t>France</t>
        </is>
      </c>
      <c r="I34" s="3" t="inlineStr">
        <is>
          <t>Master</t>
        </is>
      </c>
      <c r="J34" s="3" t="inlineStr">
        <is>
          <t>Education</t>
        </is>
      </c>
      <c r="K34" s="3" t="inlineStr">
        <is>
          <t>Full</t>
        </is>
      </c>
      <c r="L34" s="3" t="inlineStr">
        <is>
          <t>Full Support (€1,200/month living stipend for Master’s + international airfare + health insurance + cultural activities)</t>
        </is>
      </c>
      <c r="M34" s="3" t="inlineStr">
        <is>
          <t>January 6 (Internal university deadlines are typically Nov/Dec)</t>
        </is>
      </c>
      <c r="N34" s="3" t="inlineStr">
        <is>
          <t>International students; age under 29 for Master’s; nominated directly by a French higher education institution in 7 priority fields.</t>
        </is>
      </c>
      <c r="O34" s="3" t="inlineStr">
        <is>
          <t>Very High: University Admission Dossier + Institutional Nomination by French University</t>
        </is>
      </c>
      <c r="P34" s="3" t="inlineStr">
        <is>
          <t>High-Achieving Master's Applicants to French Universities</t>
        </is>
      </c>
      <c r="Q34" s="3"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34" s="3"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34" s="3" t="inlineStr">
        <is>
          <t>Academic excellence of the student (evaluated by expert committees in France), institutional internationalization strategy, and economic relevance of the applicant's professional project to their home country.</t>
        </is>
      </c>
      <c r="T34" s="3" t="inlineStr">
        <is>
          <t>Exceptional international applicants who initiate contact with French department heads early in Autumn to secure institutional sponsorship before the January deadline.</t>
        </is>
      </c>
      <c r="U34" s="3" t="inlineStr"/>
      <c r="V34" s="3" t="inlineStr">
        <is>
          <t>https://www.campusfrance.org/en/eiffel-scholarship-program</t>
        </is>
      </c>
      <c r="W34" s="3" t="inlineStr"/>
      <c r="X34" s="3" t="inlineStr"/>
      <c r="Y34" s="3" t="inlineStr"/>
      <c r="Z34" s="3" t="inlineStr"/>
      <c r="AA34" s="4" t="inlineStr"/>
      <c r="AB34" s="4" t="inlineStr"/>
      <c r="AC34" s="3">
        <f>IF(AND(E34&lt;&gt;"",COUNTIF($E$2:$E$800,E34)&gt;1),"DUPLICATE","")</f>
        <v/>
      </c>
    </row>
    <row r="35">
      <c r="A35" s="3" t="inlineStr">
        <is>
          <t>daad-study-scholarships-master-s-epos-general-master</t>
        </is>
      </c>
      <c r="B35" s="3" t="inlineStr">
        <is>
          <t>Open</t>
        </is>
      </c>
      <c r="C35" s="3" t="inlineStr"/>
      <c r="D35" s="3" t="inlineStr">
        <is>
          <t>Scholarship</t>
        </is>
      </c>
      <c r="E35" s="3" t="inlineStr">
        <is>
          <t>DAAD Study Scholarships – Master’s (EPOS &amp; General)</t>
        </is>
      </c>
      <c r="F35" s="3" t="inlineStr">
        <is>
          <t>German Academic Exchange Service</t>
        </is>
      </c>
      <c r="G35" s="3" t="inlineStr">
        <is>
          <t>Europe</t>
        </is>
      </c>
      <c r="H35" s="3" t="inlineStr">
        <is>
          <t>Germany</t>
        </is>
      </c>
      <c r="I35" s="3" t="inlineStr">
        <is>
          <t>Master</t>
        </is>
      </c>
      <c r="J35" s="3" t="inlineStr">
        <is>
          <t>All fields</t>
        </is>
      </c>
      <c r="K35" s="3" t="inlineStr">
        <is>
          <t>Full</t>
        </is>
      </c>
      <c r="L35" s="3" t="inlineStr">
        <is>
          <t>Full/Stipend Support (€992/month living allowance + health insurance + travel subsidy)</t>
        </is>
      </c>
      <c r="M35" s="3" t="inlineStr">
        <is>
          <t>Staggered (Varies by specific course or country window, typically Aug–Oct)</t>
        </is>
      </c>
      <c r="N35" s="3" t="inlineStr">
        <is>
          <t>Bachelor’s degree holder; professional experience required for EPOS development-related courses (usually 2 years); strong academic standing.</t>
        </is>
      </c>
      <c r="O35" s="3" t="inlineStr">
        <is>
          <t>High: DAAD Portal Application + University Admission + CV + Motivation Letter + References</t>
        </is>
      </c>
      <c r="P35" s="3" t="inlineStr">
        <is>
          <t>Graduates and Professionals Seeking Study in Germany</t>
        </is>
      </c>
      <c r="Q35" s="3"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5" s="3"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5" s="3" t="inlineStr">
        <is>
          <t>Academic achievement &amp; qualification (50%), Quality of study project / motivation (30%), Professional and personal suitability (20%).</t>
        </is>
      </c>
      <c r="T35" s="3" t="inlineStr">
        <is>
          <t>Highly structured candidates with clear research or career roadmaps who match German academic standards and secure university admission or professorial backing well in advance.</t>
        </is>
      </c>
      <c r="U35" s="3" t="inlineStr"/>
      <c r="V35" s="3" t="inlineStr">
        <is>
          <t>https://www.daad.de/en/study-and-research-in-germany/scholarships/</t>
        </is>
      </c>
      <c r="W35" s="3" t="inlineStr"/>
      <c r="X35" s="3" t="inlineStr"/>
      <c r="Y35" s="3" t="inlineStr"/>
      <c r="Z35" s="3" t="inlineStr">
        <is>
          <t>Work experience</t>
        </is>
      </c>
      <c r="AA35" s="4" t="inlineStr"/>
      <c r="AB35" s="4" t="inlineStr"/>
      <c r="AC35" s="3">
        <f>IF(AND(E35&lt;&gt;"",COUNTIF($E$2:$E$800,E35)&gt;1),"DUPLICATE","")</f>
        <v/>
      </c>
    </row>
    <row r="36">
      <c r="A36" s="3" t="inlineStr">
        <is>
          <t>eth-zurich-excellence-scholarship-opportunity-programme-esop</t>
        </is>
      </c>
      <c r="B36" s="3" t="inlineStr">
        <is>
          <t>Open</t>
        </is>
      </c>
      <c r="C36" s="3" t="inlineStr"/>
      <c r="D36" s="3" t="inlineStr">
        <is>
          <t>Scholarship</t>
        </is>
      </c>
      <c r="E36" s="3" t="inlineStr">
        <is>
          <t>ETH Zurich Excellence Scholarship &amp; Opportunity Programme (ESOP)</t>
        </is>
      </c>
      <c r="F36" s="3" t="inlineStr">
        <is>
          <t>ETH Zurich, Switzerland</t>
        </is>
      </c>
      <c r="G36" s="3" t="inlineStr">
        <is>
          <t>Europe</t>
        </is>
      </c>
      <c r="H36" s="3" t="inlineStr">
        <is>
          <t>Switzerland</t>
        </is>
      </c>
      <c r="I36" s="3" t="inlineStr">
        <is>
          <t>Master</t>
        </is>
      </c>
      <c r="J36" s="3" t="inlineStr">
        <is>
          <t>All fields</t>
        </is>
      </c>
      <c r="K36" s="3" t="inlineStr">
        <is>
          <t>Full</t>
        </is>
      </c>
      <c r="L36" s="3" t="inlineStr">
        <is>
          <t>Full Fellowship (CHF 12,000 per semester living/study allowance + complete tuition fee waiver)</t>
        </is>
      </c>
      <c r="M36" s="3" t="inlineStr">
        <is>
          <t>November 30 (For following Autumn intake)</t>
        </is>
      </c>
      <c r="N36" s="3" t="inlineStr">
        <is>
          <t>Excellent Master’s applicants belonging to the top 10% of their Bachelor’s graduating class; exceptional academic performance.</t>
        </is>
      </c>
      <c r="O36" s="3" t="inlineStr">
        <is>
          <t>Very High: Master's Admission Application + Pre-proposal / ESOP Pre-proposal Statement</t>
        </is>
      </c>
      <c r="P36" s="3" t="inlineStr">
        <is>
          <t>Top-Tier STEM &amp; Tech Graduates Targeting Switzerland</t>
        </is>
      </c>
      <c r="Q36" s="3" t="inlineStr">
        <is>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is>
      </c>
      <c r="R36" s="3" t="inlineStr">
        <is>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is>
      </c>
      <c r="S36" s="3" t="inlineStr">
        <is>
          <t>Absolute academic standing in Bachelor's degree (top 10% threshold), quality of motivation, and innovative research potential.</t>
        </is>
      </c>
      <c r="T36" s="3" t="inlineStr">
        <is>
          <t>Valedictorians and top-ranked engineering, physics, and computer science graduates from international universities with undergraduate research publications or advanced capstone projects.</t>
        </is>
      </c>
      <c r="U36" s="3" t="inlineStr"/>
      <c r="V36" s="3" t="inlineStr">
        <is>
          <t>https://ethz.ch/students/en/studies/financial/scholarships/excellencescholarship.html</t>
        </is>
      </c>
      <c r="W36" s="3" t="inlineStr"/>
      <c r="X36" s="3" t="inlineStr"/>
      <c r="Y36" s="3" t="inlineStr"/>
      <c r="Z36" s="3" t="inlineStr"/>
      <c r="AA36" s="4" t="inlineStr"/>
      <c r="AB36" s="4" t="inlineStr"/>
      <c r="AC36" s="3">
        <f>IF(AND(E36&lt;&gt;"",COUNTIF($E$2:$E$800,E36)&gt;1),"DUPLICATE","")</f>
        <v/>
      </c>
    </row>
    <row r="37">
      <c r="A37" s="3" t="inlineStr">
        <is>
          <t>commonwealth-master-s-scholarships-uk-master</t>
        </is>
      </c>
      <c r="B37" s="3" t="inlineStr">
        <is>
          <t>Open</t>
        </is>
      </c>
      <c r="C37" s="3" t="inlineStr"/>
      <c r="D37" s="3" t="inlineStr">
        <is>
          <t>Scholarship</t>
        </is>
      </c>
      <c r="E37" s="3" t="inlineStr">
        <is>
          <t>Commonwealth Master's Scholarships (UK)</t>
        </is>
      </c>
      <c r="F37" s="3" t="inlineStr">
        <is>
          <t>UK Foreign, Commonwealth &amp; Development Office</t>
        </is>
      </c>
      <c r="G37" s="3" t="inlineStr">
        <is>
          <t>Europe</t>
        </is>
      </c>
      <c r="H37" s="3" t="inlineStr">
        <is>
          <t>Ghana, Kenya, Nigeria, United Kingdom</t>
        </is>
      </c>
      <c r="I37" s="3" t="inlineStr">
        <is>
          <t>Master</t>
        </is>
      </c>
      <c r="J37" s="3" t="inlineStr">
        <is>
          <t>All fields</t>
        </is>
      </c>
      <c r="K37" s="3" t="inlineStr">
        <is>
          <t>Full</t>
        </is>
      </c>
      <c r="L37" s="3" t="inlineStr">
        <is>
          <t>Full Ride (Full tuition fees, £1,712 to £2,000/month stipend, return airfare, study travel grant)</t>
        </is>
      </c>
      <c r="M37" s="3" t="inlineStr">
        <is>
          <t>October 20 (Via national nominating agency and CSC system)</t>
        </is>
      </c>
      <c r="N37" s="3" t="inlineStr">
        <is>
          <t>Citizens/permanent residents of eligible developing Commonwealth countries (e.g., India, Kenya, Nigeria, Bangladesh, Tanzania, Uganda, Ghana).</t>
        </is>
      </c>
      <c r="O37" s="3" t="inlineStr">
        <is>
          <t>High: National Nominating Agency Screening + CSC Online Application Portal System</t>
        </is>
      </c>
      <c r="P37" s="3" t="inlineStr">
        <is>
          <t>Mid-Level Professionals from Eligible Commonwealth Nations</t>
        </is>
      </c>
      <c r="Q37" s="3" t="inlineStr"/>
      <c r="R37" s="3" t="inlineStr"/>
      <c r="S37" s="3" t="inlineStr"/>
      <c r="T37" s="3" t="inlineStr"/>
      <c r="U37" s="3" t="inlineStr"/>
      <c r="V37" s="3" t="inlineStr"/>
      <c r="W37" s="3" t="inlineStr"/>
      <c r="X37" s="3" t="inlineStr"/>
      <c r="Y37" s="3" t="inlineStr"/>
      <c r="Z37" s="3" t="inlineStr"/>
      <c r="AA37" s="4" t="inlineStr"/>
      <c r="AB37" s="4" t="inlineStr"/>
      <c r="AC37" s="3">
        <f>IF(AND(E37&lt;&gt;"",COUNTIF($E$2:$E$800,E37)&gt;1),"DUPLICATE","")</f>
        <v/>
      </c>
    </row>
    <row r="38">
      <c r="A38" s="3" t="inlineStr">
        <is>
          <t>swiss-government-excellence-scholarships-phd-research-phd</t>
        </is>
      </c>
      <c r="B38" s="3" t="inlineStr">
        <is>
          <t>Open</t>
        </is>
      </c>
      <c r="C38" s="3" t="inlineStr"/>
      <c r="D38" s="3" t="inlineStr">
        <is>
          <t>Scholarship</t>
        </is>
      </c>
      <c r="E38" s="3" t="inlineStr">
        <is>
          <t>Swiss Government Excellence Scholarships (PhD &amp; Research)</t>
        </is>
      </c>
      <c r="F38" s="3" t="inlineStr">
        <is>
          <t>Swiss Federal Commission</t>
        </is>
      </c>
      <c r="G38" s="3" t="inlineStr">
        <is>
          <t>Europe</t>
        </is>
      </c>
      <c r="H38" s="3" t="inlineStr">
        <is>
          <t>Switzerland</t>
        </is>
      </c>
      <c r="I38" s="3" t="inlineStr">
        <is>
          <t>PhD</t>
        </is>
      </c>
      <c r="J38" s="3" t="inlineStr">
        <is>
          <t>All fields</t>
        </is>
      </c>
      <c r="K38" s="3" t="inlineStr">
        <is>
          <t>Stipend</t>
        </is>
      </c>
      <c r="L38" s="3" t="inlineStr">
        <is>
          <t>Monthly Stipend &amp; Allowances (CHF 2,450/month living allowance + housing allowance + health insurance)</t>
        </is>
      </c>
      <c r="M38" s="3" t="inlineStr">
        <is>
          <t>Autumn (Varies by country, typically Sept–Dec)</t>
        </is>
      </c>
      <c r="N38" s="3" t="inlineStr">
        <is>
          <t>Postgraduate researchers holding a Master’s degree; doctoral candidates or postdoctoral researchers; mandatory acceptance letter from a Swiss professor.</t>
        </is>
      </c>
      <c r="O38" s="3" t="inlineStr">
        <is>
          <t>Very High: Comprehensive Research Proposal + Academic Supervisor Acceptance Letter + Official Transcripts</t>
        </is>
      </c>
      <c r="P38" s="3" t="inlineStr">
        <is>
          <t>Doctoral Researchers with Established Swiss Laboratory Contacts</t>
        </is>
      </c>
      <c r="Q38" s="3" t="inlineStr"/>
      <c r="R38" s="3" t="inlineStr"/>
      <c r="S38" s="3" t="inlineStr"/>
      <c r="T38" s="3" t="inlineStr"/>
      <c r="U38" s="3" t="inlineStr"/>
      <c r="V38" s="3" t="inlineStr"/>
      <c r="W38" s="3" t="inlineStr"/>
      <c r="X38" s="3" t="inlineStr"/>
      <c r="Y38" s="3" t="inlineStr"/>
      <c r="Z38" s="3" t="inlineStr">
        <is>
          <t>Research</t>
        </is>
      </c>
      <c r="AA38" s="4" t="inlineStr"/>
      <c r="AB38" s="4" t="inlineStr"/>
      <c r="AC38" s="3">
        <f>IF(AND(E38&lt;&gt;"",COUNTIF($E$2:$E$800,E38)&gt;1),"DUPLICATE","")</f>
        <v/>
      </c>
    </row>
    <row r="39">
      <c r="A39" s="3" t="inlineStr">
        <is>
          <t>daad-doctoral-programmes-in-germany-phd</t>
        </is>
      </c>
      <c r="B39" s="3" t="inlineStr">
        <is>
          <t>Open</t>
        </is>
      </c>
      <c r="C39" s="3" t="inlineStr"/>
      <c r="D39" s="3" t="inlineStr">
        <is>
          <t>Scholarship</t>
        </is>
      </c>
      <c r="E39" s="3" t="inlineStr">
        <is>
          <t>DAAD Doctoral Programmes in Germany</t>
        </is>
      </c>
      <c r="F39" s="3" t="inlineStr">
        <is>
          <t>German Academic Exchange Service</t>
        </is>
      </c>
      <c r="G39" s="3" t="inlineStr">
        <is>
          <t>Europe</t>
        </is>
      </c>
      <c r="H39" s="3" t="inlineStr">
        <is>
          <t>Germany</t>
        </is>
      </c>
      <c r="I39" s="3" t="inlineStr">
        <is>
          <t>PhD</t>
        </is>
      </c>
      <c r="J39" s="3" t="inlineStr">
        <is>
          <t>All fields</t>
        </is>
      </c>
      <c r="K39" s="3" t="inlineStr">
        <is>
          <t>Stipend</t>
        </is>
      </c>
      <c r="L39" s="3" t="inlineStr">
        <is>
          <t>Doctoral Grant (€1,300/month stipend + health insurance + family/rental allowances where applicable)</t>
        </is>
      </c>
      <c r="M39" s="3" t="inlineStr">
        <is>
          <t>Staggered (Multiple deadlines throughout the academic year)</t>
        </is>
      </c>
      <c r="N39" s="3" t="inlineStr">
        <is>
          <t>Master’s degree holder; accepted into a structured PhD program or holding a binding commitment from a German academic supervisor (Doktorvater/mutter).</t>
        </is>
      </c>
      <c r="O39" s="3" t="inlineStr">
        <is>
          <t>High: Detailed Doctoral Research Project Proposal + CV + University Supervisor Zusage</t>
        </is>
      </c>
      <c r="P39" s="3" t="inlineStr">
        <is>
          <t>Advanced Researchers Ready for German Doctoral Study</t>
        </is>
      </c>
      <c r="Q39" s="3"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9" s="3"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9" s="3" t="inlineStr">
        <is>
          <t>Academic achievement &amp; qualification (50%), Quality of study project / motivation (30%), Professional and personal suitability (20%).</t>
        </is>
      </c>
      <c r="T39" s="3" t="inlineStr">
        <is>
          <t>Highly structured candidates with clear research or career roadmaps who match German academic standards and secure university admission or professorial backing well in advance.</t>
        </is>
      </c>
      <c r="U39" s="3" t="inlineStr"/>
      <c r="V39" s="3" t="inlineStr">
        <is>
          <t>https://www.daad.de/en/study-and-research-in-germany/scholarships/</t>
        </is>
      </c>
      <c r="W39" s="3" t="inlineStr"/>
      <c r="X39" s="3" t="inlineStr"/>
      <c r="Y39" s="3" t="inlineStr"/>
      <c r="Z39" s="3" t="inlineStr"/>
      <c r="AA39" s="4" t="inlineStr"/>
      <c r="AB39" s="4" t="inlineStr"/>
      <c r="AC39" s="3">
        <f>IF(AND(E39&lt;&gt;"",COUNTIF($E$2:$E$800,E39)&gt;1),"DUPLICATE","")</f>
        <v/>
      </c>
    </row>
    <row r="40">
      <c r="A40" s="3" t="inlineStr">
        <is>
          <t>eiffel-excellence-scholarship-phd-track-phd</t>
        </is>
      </c>
      <c r="B40" s="3" t="inlineStr">
        <is>
          <t>Open</t>
        </is>
      </c>
      <c r="C40" s="3" t="inlineStr"/>
      <c r="D40" s="3" t="inlineStr">
        <is>
          <t>Scholarship</t>
        </is>
      </c>
      <c r="E40" s="3" t="inlineStr">
        <is>
          <t>Eiffel Excellence Scholarship (PhD Track)</t>
        </is>
      </c>
      <c r="F40" s="3" t="inlineStr">
        <is>
          <t>French Ministry for Europe and Foreign Affairs</t>
        </is>
      </c>
      <c r="G40" s="3" t="inlineStr">
        <is>
          <t>Europe</t>
        </is>
      </c>
      <c r="H40" s="3" t="inlineStr">
        <is>
          <t>France</t>
        </is>
      </c>
      <c r="I40" s="3" t="inlineStr">
        <is>
          <t>PhD</t>
        </is>
      </c>
      <c r="J40" s="3" t="inlineStr">
        <is>
          <t>All fields</t>
        </is>
      </c>
      <c r="K40" s="3" t="inlineStr">
        <is>
          <t>Stipend</t>
        </is>
      </c>
      <c r="L40" s="3" t="inlineStr">
        <is>
          <t>Doctoral Fellowship (€2,000/month living stipend + international travel + health insurance)</t>
        </is>
      </c>
      <c r="M40" s="3" t="inlineStr">
        <is>
          <t>January 6 (Submitted by French host institutions)</t>
        </is>
      </c>
      <c r="N40" s="3" t="inlineStr">
        <is>
          <t>International PhD candidates; age under 35; co-tutelle or joint doctoral arrangements between French and home-country universities heavily favored.</t>
        </is>
      </c>
      <c r="O40" s="3" t="inlineStr">
        <is>
          <t>Very High: Joint Institutional Application Dossier submitted via Campus France platform by the university.</t>
        </is>
      </c>
      <c r="P40" s="3" t="inlineStr">
        <is>
          <t>Young International Doctoral Researchers Collaborating with French Labs</t>
        </is>
      </c>
      <c r="Q40" s="3"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40" s="3"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40" s="3" t="inlineStr">
        <is>
          <t>Academic excellence of the student (evaluated by expert committees in France), institutional internationalization strategy, and economic relevance of the applicant's professional project to their home country.</t>
        </is>
      </c>
      <c r="T40" s="3" t="inlineStr">
        <is>
          <t>Exceptional international applicants who initiate contact with French department heads early in Autumn to secure institutional sponsorship before the January deadline.</t>
        </is>
      </c>
      <c r="U40" s="3" t="inlineStr"/>
      <c r="V40" s="3" t="inlineStr">
        <is>
          <t>https://www.campusfrance.org/en/eiffel-scholarship-program</t>
        </is>
      </c>
      <c r="W40" s="3" t="inlineStr"/>
      <c r="X40" s="3" t="inlineStr"/>
      <c r="Y40" s="3" t="inlineStr"/>
      <c r="Z40" s="3" t="inlineStr"/>
      <c r="AA40" s="4" t="inlineStr"/>
      <c r="AB40" s="4" t="inlineStr"/>
      <c r="AC40" s="3">
        <f>IF(AND(E40&lt;&gt;"",COUNTIF($E$2:$E$800,E40)&gt;1),"DUPLICATE","")</f>
        <v/>
      </c>
    </row>
    <row r="41">
      <c r="A41" s="3" t="inlineStr">
        <is>
          <t>government-of-ireland-postgraduate-scholarship-scheme-phd</t>
        </is>
      </c>
      <c r="B41" s="3" t="inlineStr">
        <is>
          <t>Open</t>
        </is>
      </c>
      <c r="C41" s="3" t="inlineStr"/>
      <c r="D41" s="3" t="inlineStr">
        <is>
          <t>Scholarship</t>
        </is>
      </c>
      <c r="E41" s="3" t="inlineStr">
        <is>
          <t>Government of Ireland Postgraduate Scholarship Scheme</t>
        </is>
      </c>
      <c r="F41" s="3" t="inlineStr">
        <is>
          <t>IRC</t>
        </is>
      </c>
      <c r="G41" s="3" t="inlineStr">
        <is>
          <t>Europe</t>
        </is>
      </c>
      <c r="H41" s="3" t="inlineStr">
        <is>
          <t>Ireland</t>
        </is>
      </c>
      <c r="I41" s="3" t="inlineStr">
        <is>
          <t>PhD</t>
        </is>
      </c>
      <c r="J41" s="3" t="inlineStr">
        <is>
          <t>Education</t>
        </is>
      </c>
      <c r="K41" s="3" t="inlineStr">
        <is>
          <t>Full</t>
        </is>
      </c>
      <c r="L41" s="3" t="inlineStr">
        <is>
          <t>Full Research Support (Stipend of €28,000+ per year + contribution to fees up to €5,750 + direct research expense grant)</t>
        </is>
      </c>
      <c r="M41" s="3" t="inlineStr">
        <is>
          <t>October / November (Annual call)</t>
        </is>
      </c>
      <c r="N41" s="3" t="inlineStr">
        <is>
          <t>Open to all nationalities pursuing a research Master’s or PhD at an eligible higher education institution in Ireland.</t>
        </is>
      </c>
      <c r="O41" s="3" t="inlineStr">
        <is>
          <t>High: Detailed Research Proposal + 2 Confidential Academic Referees + Supervisor Form</t>
        </is>
      </c>
      <c r="P41" s="3" t="inlineStr">
        <is>
          <t>Independent Researchers Seeking Fully Funded Irish PhDs</t>
        </is>
      </c>
      <c r="Q41" s="3" t="inlineStr"/>
      <c r="R41" s="3" t="inlineStr"/>
      <c r="S41" s="3" t="inlineStr"/>
      <c r="T41" s="3" t="inlineStr"/>
      <c r="U41" s="3" t="inlineStr"/>
      <c r="V41" s="3" t="inlineStr"/>
      <c r="W41" s="3" t="inlineStr"/>
      <c r="X41" s="3" t="inlineStr"/>
      <c r="Y41" s="3" t="inlineStr"/>
      <c r="Z41" s="3" t="inlineStr">
        <is>
          <t>Research</t>
        </is>
      </c>
      <c r="AA41" s="4" t="inlineStr"/>
      <c r="AB41" s="4" t="inlineStr"/>
      <c r="AC41" s="3">
        <f>IF(AND(E41&lt;&gt;"",COUNTIF($E$2:$E$800,E41)&gt;1),"DUPLICATE","")</f>
        <v/>
      </c>
    </row>
    <row r="42">
      <c r="A42" s="3" t="inlineStr">
        <is>
          <t>lester-b-pearson-international-scholarship-bachelor</t>
        </is>
      </c>
      <c r="B42" s="3" t="inlineStr">
        <is>
          <t>Open</t>
        </is>
      </c>
      <c r="C42" s="3" t="inlineStr"/>
      <c r="D42" s="3" t="inlineStr">
        <is>
          <t>Scholarship</t>
        </is>
      </c>
      <c r="E42" s="3" t="inlineStr">
        <is>
          <t>Lester B. Pearson International Scholarship</t>
        </is>
      </c>
      <c r="F42" s="3" t="inlineStr">
        <is>
          <t>University of Toronto — Canada</t>
        </is>
      </c>
      <c r="G42" s="3" t="inlineStr">
        <is>
          <t>North America</t>
        </is>
      </c>
      <c r="H42" s="3" t="inlineStr">
        <is>
          <t>Canada</t>
        </is>
      </c>
      <c r="I42" s="3" t="inlineStr">
        <is>
          <t>Bachelor</t>
        </is>
      </c>
      <c r="J42" s="3" t="inlineStr">
        <is>
          <t>All fields</t>
        </is>
      </c>
      <c r="K42" s="3" t="inlineStr">
        <is>
          <t>Full</t>
        </is>
      </c>
      <c r="L42" s="3" t="inlineStr">
        <is>
          <t>Full Ride (Full Tuition, Books, Incidental Fees, and Full Residential Support for 4 years)</t>
        </is>
      </c>
      <c r="M42" s="3" t="inlineStr">
        <is>
          <t>November 6 (School nomination required by Oct)</t>
        </is>
      </c>
      <c r="N42" s="3" t="inlineStr">
        <is>
          <t>International secondary school student; exceptional academic achievement, creativity, and recognized leadership potential.</t>
        </is>
      </c>
      <c r="O42" s="3" t="inlineStr">
        <is>
          <t>Very High: School Nomination + UofT Admission Application + Pearson Scholarship Application Form</t>
        </is>
      </c>
      <c r="P42" s="3" t="inlineStr">
        <is>
          <t>Elite International High School Achievers Targeting Canada</t>
        </is>
      </c>
      <c r="Q42" s="3" t="inlineStr">
        <is>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is>
      </c>
      <c r="R42" s="3" t="inlineStr">
        <is>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is>
      </c>
      <c r="S42" s="3" t="inlineStr">
        <is>
          <t>Academic standing &amp; intellectual curiosity (40%), Leadership within school and community (40%), Originality and creative problem-solving (20%).</t>
        </is>
      </c>
      <c r="T42" s="3" t="inlineStr">
        <is>
          <t>Top-ranked high school seniors who lead student councils, found non-profit ventures, or excel in international olympiads alongside straight-A report cards.</t>
        </is>
      </c>
      <c r="U42" s="3" t="inlineStr"/>
      <c r="V42" s="3" t="inlineStr">
        <is>
          <t>https://future.utoronto.ca/pearson/</t>
        </is>
      </c>
      <c r="W42" s="3" t="inlineStr"/>
      <c r="X42" s="3" t="inlineStr"/>
      <c r="Y42" s="3" t="inlineStr"/>
      <c r="Z42" s="3" t="inlineStr"/>
      <c r="AA42" s="4" t="inlineStr"/>
      <c r="AB42" s="4" t="inlineStr"/>
      <c r="AC42" s="3">
        <f>IF(AND(E42&lt;&gt;"",COUNTIF($E$2:$E$800,E42)&gt;1),"DUPLICATE","")</f>
        <v/>
      </c>
    </row>
    <row r="43">
      <c r="A43" s="3" t="inlineStr">
        <is>
          <t>schulich-leader-scholarships-bachelor</t>
        </is>
      </c>
      <c r="B43" s="3" t="inlineStr">
        <is>
          <t>Open</t>
        </is>
      </c>
      <c r="C43" s="3" t="inlineStr"/>
      <c r="D43" s="3" t="inlineStr">
        <is>
          <t>Scholarship</t>
        </is>
      </c>
      <c r="E43" s="3" t="inlineStr">
        <is>
          <t>Schulich Leader Scholarships</t>
        </is>
      </c>
      <c r="F43" s="3" t="inlineStr">
        <is>
          <t>20 Partner Universities across Canada</t>
        </is>
      </c>
      <c r="G43" s="3" t="inlineStr">
        <is>
          <t>North America</t>
        </is>
      </c>
      <c r="H43" s="3" t="inlineStr">
        <is>
          <t>Canada</t>
        </is>
      </c>
      <c r="I43" s="3" t="inlineStr">
        <is>
          <t>Bachelor</t>
        </is>
      </c>
      <c r="J43" s="3" t="inlineStr">
        <is>
          <t>Mathematics &amp; Natural Sciences, Business, Economics &amp; Management</t>
        </is>
      </c>
      <c r="K43" s="3" t="inlineStr">
        <is>
          <t>Partial</t>
        </is>
      </c>
      <c r="L43" s="3" t="inlineStr">
        <is>
          <t>$100,000 to $120,000 (Distributed over 4 years for Engineering, Science, or Math/Tech degrees)</t>
        </is>
      </c>
      <c r="M43" s="3" t="inlineStr">
        <is>
          <t>January 7 (Annual cycle)</t>
        </is>
      </c>
      <c r="N43" s="3" t="inlineStr">
        <is>
          <t>Canadian high school graduates (or permanent residents) entrepreneurial-minded and entering an eligible STEM undergraduate program.</t>
        </is>
      </c>
      <c r="O43" s="3" t="inlineStr">
        <is>
          <t>High: High School Nomination + Essay on Entrepreneurial Leadership + Extracurricular Record</t>
        </is>
      </c>
      <c r="P43" s="3" t="inlineStr">
        <is>
          <t>Canadian STEM Innovators &amp; High School Entrepreneurs</t>
        </is>
      </c>
      <c r="Q43" s="3" t="inlineStr"/>
      <c r="R43" s="3" t="inlineStr"/>
      <c r="S43" s="3" t="inlineStr"/>
      <c r="T43" s="3" t="inlineStr"/>
      <c r="U43" s="3" t="inlineStr"/>
      <c r="V43" s="3" t="inlineStr"/>
      <c r="W43" s="3" t="inlineStr"/>
      <c r="X43" s="3" t="inlineStr"/>
      <c r="Y43" s="3" t="inlineStr"/>
      <c r="Z43" s="3" t="inlineStr">
        <is>
          <t>STEM</t>
        </is>
      </c>
      <c r="AA43" s="4" t="inlineStr"/>
      <c r="AB43" s="4" t="inlineStr"/>
      <c r="AC43" s="3">
        <f>IF(AND(E43&lt;&gt;"",COUNTIF($E$2:$E$800,E43)&gt;1),"DUPLICATE","")</f>
        <v/>
      </c>
    </row>
    <row r="44">
      <c r="A44" s="3" t="inlineStr">
        <is>
          <t>amherst-college-international-financial-aid-bachelor</t>
        </is>
      </c>
      <c r="B44" s="3" t="inlineStr">
        <is>
          <t>Open</t>
        </is>
      </c>
      <c r="C44" s="3" t="inlineStr"/>
      <c r="D44" s="3" t="inlineStr">
        <is>
          <t>Scholarship</t>
        </is>
      </c>
      <c r="E44" s="3" t="inlineStr">
        <is>
          <t>Amherst College International Financial Aid</t>
        </is>
      </c>
      <c r="F44" s="3" t="inlineStr">
        <is>
          <t>Amherst College — USA</t>
        </is>
      </c>
      <c r="G44" s="3" t="inlineStr">
        <is>
          <t>North America</t>
        </is>
      </c>
      <c r="H44" s="3" t="inlineStr">
        <is>
          <t>United States</t>
        </is>
      </c>
      <c r="I44" s="3" t="inlineStr">
        <is>
          <t>Bachelor</t>
        </is>
      </c>
      <c r="J44" s="3" t="inlineStr">
        <is>
          <t>All fields</t>
        </is>
      </c>
      <c r="K44" s="3" t="inlineStr">
        <is>
          <t>Full</t>
        </is>
      </c>
      <c r="L44" s="3" t="inlineStr">
        <is>
          <t>100% Demonstrated Need (Full-need financial aid package covering tuition, housing, and meals)</t>
        </is>
      </c>
      <c r="M44" s="3" t="inlineStr">
        <is>
          <t>January 1 (Fall Regular Decision)</t>
        </is>
      </c>
      <c r="N44" s="3" t="inlineStr">
        <is>
          <t>International undergraduate student applying for freshman entry; exceptionally high academic rigor and financial need.</t>
        </is>
      </c>
      <c r="O44" s="3" t="inlineStr">
        <is>
          <t>High: Common App + CSS Profile + Tax/Income Documents + Mid-Year School Report</t>
        </is>
      </c>
      <c r="P44" s="3" t="inlineStr">
        <is>
          <t>Low-Income International Undergraduates Seeking US Private Education</t>
        </is>
      </c>
      <c r="Q44" s="3" t="inlineStr"/>
      <c r="R44" s="3" t="inlineStr"/>
      <c r="S44" s="3" t="inlineStr"/>
      <c r="T44" s="3" t="inlineStr"/>
      <c r="U44" s="3" t="inlineStr"/>
      <c r="V44" s="3" t="inlineStr"/>
      <c r="W44" s="3" t="inlineStr"/>
      <c r="X44" s="3" t="inlineStr"/>
      <c r="Y44" s="3" t="inlineStr"/>
      <c r="Z44" s="3" t="inlineStr">
        <is>
          <t>Need-based</t>
        </is>
      </c>
      <c r="AA44" s="4" t="inlineStr"/>
      <c r="AB44" s="4" t="inlineStr"/>
      <c r="AC44" s="3">
        <f>IF(AND(E44&lt;&gt;"",COUNTIF($E$2:$E$800,E44)&gt;1),"DUPLICATE","")</f>
        <v/>
      </c>
    </row>
    <row r="45">
      <c r="A45" s="3" t="inlineStr">
        <is>
          <t>ubc-international-major-entrance-scholarship-imes-bachelor</t>
        </is>
      </c>
      <c r="B45" s="3" t="inlineStr">
        <is>
          <t>Open</t>
        </is>
      </c>
      <c r="C45" s="3" t="inlineStr"/>
      <c r="D45" s="3" t="inlineStr">
        <is>
          <t>Scholarship</t>
        </is>
      </c>
      <c r="E45" s="3" t="inlineStr">
        <is>
          <t>UBC International Major Entrance Scholarship (IMES)</t>
        </is>
      </c>
      <c r="F45" s="3" t="inlineStr">
        <is>
          <t>University of British Columbia — Canada</t>
        </is>
      </c>
      <c r="G45" s="3" t="inlineStr">
        <is>
          <t>North America</t>
        </is>
      </c>
      <c r="H45" s="3" t="inlineStr">
        <is>
          <t>Canada</t>
        </is>
      </c>
      <c r="I45" s="3" t="inlineStr">
        <is>
          <t>Bachelor</t>
        </is>
      </c>
      <c r="J45" s="3" t="inlineStr">
        <is>
          <t>All fields</t>
        </is>
      </c>
      <c r="K45" s="3" t="inlineStr">
        <is>
          <t>Partial</t>
        </is>
      </c>
      <c r="L45" s="3" t="inlineStr">
        <is>
          <t>Partial to Substantial Tuition Awards (Renewable for up to 3 additional years of undergraduate study)</t>
        </is>
      </c>
      <c r="M45" s="3" t="inlineStr">
        <is>
          <t>January 15 (Annual cycle)</t>
        </is>
      </c>
      <c r="N45" s="3" t="inlineStr">
        <is>
          <t>International students entering UBC undergraduate programs; top-tier academic performance and strong community involvement.</t>
        </is>
      </c>
      <c r="O45" s="3" t="inlineStr">
        <is>
          <t>Medium: UBC Admission Application + Separate International Scholarship Form</t>
        </is>
      </c>
      <c r="P45" s="3" t="inlineStr">
        <is>
          <t>High-Achieving Undergraduates Seeking Study in Vancouver</t>
        </is>
      </c>
      <c r="Q45" s="3" t="inlineStr"/>
      <c r="R45" s="3" t="inlineStr"/>
      <c r="S45" s="3" t="inlineStr"/>
      <c r="T45" s="3" t="inlineStr"/>
      <c r="U45" s="3" t="inlineStr"/>
      <c r="V45" s="3" t="inlineStr"/>
      <c r="W45" s="3" t="inlineStr"/>
      <c r="X45" s="3" t="inlineStr"/>
      <c r="Y45" s="3" t="inlineStr"/>
      <c r="Z45" s="3" t="inlineStr"/>
      <c r="AA45" s="4" t="inlineStr"/>
      <c r="AB45" s="4" t="inlineStr"/>
      <c r="AC45" s="3">
        <f>IF(AND(E45&lt;&gt;"",COUNTIF($E$2:$E$800,E45)&gt;1),"DUPLICATE","")</f>
        <v/>
      </c>
    </row>
    <row r="46">
      <c r="A46" s="3" t="inlineStr">
        <is>
          <t>fulbright-foreign-student-program-usa-master</t>
        </is>
      </c>
      <c r="B46" s="3" t="inlineStr">
        <is>
          <t>Open</t>
        </is>
      </c>
      <c r="C46" s="3" t="inlineStr"/>
      <c r="D46" s="3" t="inlineStr">
        <is>
          <t>Scholarship</t>
        </is>
      </c>
      <c r="E46" s="3" t="inlineStr">
        <is>
          <t>Fulbright Foreign Student Program (USA)</t>
        </is>
      </c>
      <c r="F46" s="3" t="inlineStr">
        <is>
          <t>US Department of State / Binational Commissions</t>
        </is>
      </c>
      <c r="G46" s="3" t="inlineStr">
        <is>
          <t>North America</t>
        </is>
      </c>
      <c r="H46" s="3" t="inlineStr">
        <is>
          <t>United States</t>
        </is>
      </c>
      <c r="I46" s="3" t="inlineStr">
        <is>
          <t>Master</t>
        </is>
      </c>
      <c r="J46" s="3" t="inlineStr">
        <is>
          <t>All fields</t>
        </is>
      </c>
      <c r="K46" s="3" t="inlineStr">
        <is>
          <t>Full</t>
        </is>
      </c>
      <c r="L46" s="3" t="inlineStr">
        <is>
          <t>Full Ride (J-1 Visa sponsorship, tuition coverage, monthly living stipend, books, health insurance)</t>
        </is>
      </c>
      <c r="M46" s="3" t="inlineStr">
        <is>
          <t>Staggered (Varies by home country, typically Feb–Oct)</t>
        </is>
      </c>
      <c r="N46" s="3" t="inlineStr">
        <is>
          <t>Foreign nationals (non-US citizens) holding a Bachelor’s degree; strong leadership potential; commitment to return home post-study.</t>
        </is>
      </c>
      <c r="O46" s="3" t="inlineStr">
        <is>
          <t>High: Local U.S. Embassy / Fulbright Commission Application + 3 References + Standardized Tests</t>
        </is>
      </c>
      <c r="P46" s="3" t="inlineStr">
        <is>
          <t>Global Leaders &amp; Graduate Students Seeking US Master's Sponsorship</t>
        </is>
      </c>
      <c r="Q46" s="3" t="inlineStr">
        <is>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is>
      </c>
      <c r="R46" s="3" t="inlineStr">
        <is>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is>
      </c>
      <c r="S46" s="3" t="inlineStr">
        <is>
          <t>Academic excellence (35%), Leadership capability &amp; community impact (35%), Feasibility of study plan &amp; cross-cultural adaptability (30%).</t>
        </is>
      </c>
      <c r="T46" s="3" t="inlineStr">
        <is>
          <t>Passionate professionals and scholars who articulate a clear vision for how their US degree will solve developmental or academic challenges back home.</t>
        </is>
      </c>
      <c r="U46" s="3" t="inlineStr"/>
      <c r="V46" s="3" t="inlineStr">
        <is>
          <t>https://foreign.fulbrightonline.org/</t>
        </is>
      </c>
      <c r="W46" s="3" t="inlineStr"/>
      <c r="X46" s="3" t="inlineStr"/>
      <c r="Y46" s="3" t="inlineStr"/>
      <c r="Z46" s="3" t="inlineStr"/>
      <c r="AA46" s="4" t="inlineStr"/>
      <c r="AB46" s="4" t="inlineStr"/>
      <c r="AC46" s="3">
        <f>IF(AND(E46&lt;&gt;"",COUNTIF($E$2:$E$800,E46)&gt;1),"DUPLICATE","")</f>
        <v/>
      </c>
    </row>
    <row r="47">
      <c r="A47" s="3" t="inlineStr">
        <is>
          <t>rotary-peace-fellowship-north-america-centers-master</t>
        </is>
      </c>
      <c r="B47" s="3" t="inlineStr">
        <is>
          <t>Open</t>
        </is>
      </c>
      <c r="C47" s="3" t="inlineStr"/>
      <c r="D47" s="3" t="inlineStr">
        <is>
          <t>Scholarship</t>
        </is>
      </c>
      <c r="E47" s="3" t="inlineStr">
        <is>
          <t>Rotary Peace Fellowship (North America Centers)</t>
        </is>
      </c>
      <c r="F47" s="3" t="inlineStr">
        <is>
          <t>Rotary Foundation</t>
        </is>
      </c>
      <c r="G47" s="3" t="inlineStr">
        <is>
          <t>North America</t>
        </is>
      </c>
      <c r="H47" s="3" t="inlineStr"/>
      <c r="I47" s="3" t="inlineStr">
        <is>
          <t>Master</t>
        </is>
      </c>
      <c r="J47" s="3" t="inlineStr">
        <is>
          <t>Law, Governance &amp; Public Policy</t>
        </is>
      </c>
      <c r="K47" s="3" t="inlineStr">
        <is>
          <t>Full</t>
        </is>
      </c>
      <c r="L47" s="3" t="inlineStr">
        <is>
          <t>Full Ride (Tuition, room &amp; board, round-trip transportation, all internship/field study expenses)</t>
        </is>
      </c>
      <c r="M47" s="3" t="inlineStr">
        <is>
          <t>May 15 (Annual cycle for following year)</t>
        </is>
      </c>
      <c r="N47" s="3" t="inlineStr">
        <is>
          <t>Bachelor’s degree; minimum 3 years of relevant professional experience in peace/conflict resolution; exceptional leadership record.</t>
        </is>
      </c>
      <c r="O47" s="3" t="inlineStr">
        <is>
          <t>Very High: Detailed Peace Fellowship Application + Professional Recommendations + Essays</t>
        </is>
      </c>
      <c r="P47" s="3" t="inlineStr">
        <is>
          <t>Mid-Career Peacebuilding &amp; International Relations Professionals</t>
        </is>
      </c>
      <c r="Q47" s="3" t="inlineStr"/>
      <c r="R47" s="3" t="inlineStr"/>
      <c r="S47" s="3" t="inlineStr"/>
      <c r="T47" s="3" t="inlineStr"/>
      <c r="U47" s="3" t="inlineStr"/>
      <c r="V47" s="3" t="inlineStr"/>
      <c r="W47" s="3" t="inlineStr"/>
      <c r="X47" s="3" t="inlineStr"/>
      <c r="Y47" s="3" t="inlineStr"/>
      <c r="Z47" s="3" t="inlineStr">
        <is>
          <t>Work experience</t>
        </is>
      </c>
      <c r="AA47" s="4" t="inlineStr"/>
      <c r="AB47" s="4" t="inlineStr"/>
      <c r="AC47" s="3">
        <f>IF(AND(E47&lt;&gt;"",COUNTIF($E$2:$E$800,E47)&gt;1),"DUPLICATE","")</f>
        <v/>
      </c>
    </row>
    <row r="48">
      <c r="A48" s="3" t="inlineStr">
        <is>
          <t>hubert-h-humphrey-fellowship-program-master</t>
        </is>
      </c>
      <c r="B48" s="3" t="inlineStr">
        <is>
          <t>Open</t>
        </is>
      </c>
      <c r="C48" s="3" t="inlineStr"/>
      <c r="D48" s="3" t="inlineStr">
        <is>
          <t>Scholarship</t>
        </is>
      </c>
      <c r="E48" s="3" t="inlineStr">
        <is>
          <t>Hubert H. Humphrey Fellowship Program</t>
        </is>
      </c>
      <c r="F48" s="3" t="inlineStr">
        <is>
          <t>US Department of State</t>
        </is>
      </c>
      <c r="G48" s="3" t="inlineStr">
        <is>
          <t>North America</t>
        </is>
      </c>
      <c r="H48" s="3" t="inlineStr">
        <is>
          <t>United States</t>
        </is>
      </c>
      <c r="I48" s="3" t="inlineStr">
        <is>
          <t>Master</t>
        </is>
      </c>
      <c r="J48" s="3" t="inlineStr">
        <is>
          <t>Law, Governance &amp; Public Policy, Architecture, Arts &amp; Design</t>
        </is>
      </c>
      <c r="K48" s="3" t="inlineStr">
        <is>
          <t>Full</t>
        </is>
      </c>
      <c r="L48" s="3" t="inlineStr">
        <is>
          <t>Professional Fellowship Grant (Full tuition, maintenance allowance, airfare, professional development funds)</t>
        </is>
      </c>
      <c r="M48" s="3" t="inlineStr">
        <is>
          <t>Staggered (Country-specific windows)</t>
        </is>
      </c>
      <c r="N48" s="3" t="inlineStr">
        <is>
          <t>Experienced professionals from designated countries; minimum 5 years of substantial professional experience in public service or policy.</t>
        </is>
      </c>
      <c r="O48" s="3" t="inlineStr">
        <is>
          <t>High: Comprehensive Professional Application + Employer Endorsement + English Language Proficiency</t>
        </is>
      </c>
      <c r="P48" s="3" t="inlineStr">
        <is>
          <t>Mid-Career Public Service Leaders Seeking US Professional Enrichment</t>
        </is>
      </c>
      <c r="Q48" s="3" t="inlineStr"/>
      <c r="R48" s="3" t="inlineStr"/>
      <c r="S48" s="3" t="inlineStr"/>
      <c r="T48" s="3" t="inlineStr"/>
      <c r="U48" s="3" t="inlineStr"/>
      <c r="V48" s="3" t="inlineStr"/>
      <c r="W48" s="3" t="inlineStr"/>
      <c r="X48" s="3" t="inlineStr"/>
      <c r="Y48" s="3" t="inlineStr"/>
      <c r="Z48" s="3" t="inlineStr">
        <is>
          <t>Work experience</t>
        </is>
      </c>
      <c r="AA48" s="4" t="inlineStr"/>
      <c r="AB48" s="4" t="inlineStr"/>
      <c r="AC48" s="3">
        <f>IF(AND(E48&lt;&gt;"",COUNTIF($E$2:$E$800,E48)&gt;1),"DUPLICATE","")</f>
        <v/>
      </c>
    </row>
    <row r="49">
      <c r="A49" s="3" t="inlineStr">
        <is>
          <t>mcgill-university-master-s-funding-graduate-excellence-fello</t>
        </is>
      </c>
      <c r="B49" s="3" t="inlineStr">
        <is>
          <t>Open</t>
        </is>
      </c>
      <c r="C49" s="3" t="inlineStr"/>
      <c r="D49" s="3" t="inlineStr">
        <is>
          <t>Scholarship</t>
        </is>
      </c>
      <c r="E49" s="3" t="inlineStr">
        <is>
          <t>McGill University Master’s Funding &amp; Graduate Excellence Fellowships</t>
        </is>
      </c>
      <c r="F49" s="3" t="inlineStr">
        <is>
          <t>McGill University — Canada</t>
        </is>
      </c>
      <c r="G49" s="3" t="inlineStr">
        <is>
          <t>North America</t>
        </is>
      </c>
      <c r="H49" s="3" t="inlineStr">
        <is>
          <t>Canada</t>
        </is>
      </c>
      <c r="I49" s="3" t="inlineStr">
        <is>
          <t>Master</t>
        </is>
      </c>
      <c r="J49" s="3" t="inlineStr">
        <is>
          <t>Engineering &amp; Technology, Mathematics &amp; Natural Sciences, Architecture, Arts &amp; Design</t>
        </is>
      </c>
      <c r="K49" s="3" t="inlineStr">
        <is>
          <t>Full</t>
        </is>
      </c>
      <c r="L49" s="3" t="inlineStr">
        <is>
          <t>Partial to Full Funding Support (Stipends and tuition supplements ranging from $5,000 to full funding)</t>
        </is>
      </c>
      <c r="M49" s="3" t="inlineStr">
        <is>
          <t>January 15 (Varies by department)</t>
        </is>
      </c>
      <c r="N49" s="3" t="inlineStr">
        <is>
          <t>International Master’s applicants admitted to thesis-based graduate programs in science, engineering, or arts.</t>
        </is>
      </c>
      <c r="O49" s="3" t="inlineStr">
        <is>
          <t>Medium: Departmental Graduate Admission Application (automatically considered for fellowships)</t>
        </is>
      </c>
      <c r="P49" s="3" t="inlineStr">
        <is>
          <t>Thesis-Based Master's Applicants to Canadian Research Universities</t>
        </is>
      </c>
      <c r="Q49" s="3" t="inlineStr"/>
      <c r="R49" s="3" t="inlineStr"/>
      <c r="S49" s="3" t="inlineStr"/>
      <c r="T49" s="3" t="inlineStr"/>
      <c r="U49" s="3" t="inlineStr"/>
      <c r="V49" s="3" t="inlineStr"/>
      <c r="W49" s="3" t="inlineStr"/>
      <c r="X49" s="3" t="inlineStr"/>
      <c r="Y49" s="3" t="inlineStr"/>
      <c r="Z49" s="3" t="inlineStr">
        <is>
          <t>STEM</t>
        </is>
      </c>
      <c r="AA49" s="4" t="inlineStr"/>
      <c r="AB49" s="4" t="inlineStr"/>
      <c r="AC49" s="3">
        <f>IF(AND(E49&lt;&gt;"",COUNTIF($E$2:$E$800,E49)&gt;1),"DUPLICATE","")</f>
        <v/>
      </c>
    </row>
    <row r="50">
      <c r="A50" s="3" t="inlineStr">
        <is>
          <t>vanier-canada-graduate-scholarships-phd</t>
        </is>
      </c>
      <c r="B50" s="3" t="inlineStr">
        <is>
          <t>Open</t>
        </is>
      </c>
      <c r="C50" s="3" t="inlineStr"/>
      <c r="D50" s="3" t="inlineStr">
        <is>
          <t>Scholarship</t>
        </is>
      </c>
      <c r="E50" s="3" t="inlineStr">
        <is>
          <t>Vanier Canada Graduate Scholarships</t>
        </is>
      </c>
      <c r="F50" s="3" t="inlineStr">
        <is>
          <t>Government of Canada / CIHR, NSERC, SSHRC</t>
        </is>
      </c>
      <c r="G50" s="3" t="inlineStr">
        <is>
          <t>North America</t>
        </is>
      </c>
      <c r="H50" s="3" t="inlineStr">
        <is>
          <t>Canada</t>
        </is>
      </c>
      <c r="I50" s="3" t="inlineStr">
        <is>
          <t>PhD</t>
        </is>
      </c>
      <c r="J50" s="3" t="inlineStr">
        <is>
          <t>All fields</t>
        </is>
      </c>
      <c r="K50" s="3" t="inlineStr">
        <is>
          <t>Stipend</t>
        </is>
      </c>
      <c r="L50" s="3" t="inlineStr">
        <is>
          <t>CA$50,000 per year (For 3 years of doctoral studies at participating Canadian universities)</t>
        </is>
      </c>
      <c r="M50" s="3" t="inlineStr">
        <is>
          <t>November (Nomination by university)</t>
        </is>
      </c>
      <c r="N50" s="3" t="inlineStr">
        <is>
          <t>World-class doctoral students (Canadian and international); nominated by a Canadian university; leadership and research excellence.</t>
        </is>
      </c>
      <c r="O50" s="3" t="inlineStr">
        <is>
          <t>Very High: Institutional Nomination + Research Proposal + Leadership Statements + Transcripts</t>
        </is>
      </c>
      <c r="P50" s="3" t="inlineStr">
        <is>
          <t>World-Class Doctoral Researchers Applying to Canadian Universities</t>
        </is>
      </c>
      <c r="Q50" s="3" t="inlineStr">
        <is>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is>
      </c>
      <c r="R50" s="3" t="inlineStr">
        <is>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is>
      </c>
      <c r="S50" s="3" t="inlineStr">
        <is>
          <t>Academic Excellence (33.3%), Research Potential (33.3%), Leadership Characteristics (33.3%).</t>
        </is>
      </c>
      <c r="T50" s="3" t="inlineStr">
        <is>
          <t>Exceptional doctoral researchers with published papers, conference presentations, and extensive leadership or mentoring track records.</t>
        </is>
      </c>
      <c r="U50" s="3" t="inlineStr"/>
      <c r="V50" s="3" t="inlineStr">
        <is>
          <t>https://www.vanier.gc.ca/en/home-accueil.html</t>
        </is>
      </c>
      <c r="W50" s="3" t="inlineStr"/>
      <c r="X50" s="3" t="inlineStr"/>
      <c r="Y50" s="3" t="inlineStr"/>
      <c r="Z50" s="3" t="inlineStr">
        <is>
          <t>Research</t>
        </is>
      </c>
      <c r="AA50" s="4" t="inlineStr"/>
      <c r="AB50" s="4" t="inlineStr"/>
      <c r="AC50" s="3">
        <f>IF(AND(E50&lt;&gt;"",COUNTIF($E$2:$E$800,E50)&gt;1),"DUPLICATE","")</f>
        <v/>
      </c>
    </row>
    <row r="51">
      <c r="A51" s="3" t="inlineStr">
        <is>
          <t>nsf-graduate-research-fellowship-program-grfp-phd</t>
        </is>
      </c>
      <c r="B51" s="3" t="inlineStr">
        <is>
          <t>Open</t>
        </is>
      </c>
      <c r="C51" s="3" t="inlineStr"/>
      <c r="D51" s="3" t="inlineStr">
        <is>
          <t>Scholarship</t>
        </is>
      </c>
      <c r="E51" s="3" t="inlineStr">
        <is>
          <t>NSF Graduate Research Fellowship Program (GRFP)</t>
        </is>
      </c>
      <c r="F51" s="3" t="inlineStr">
        <is>
          <t>National Science Foundation — USA</t>
        </is>
      </c>
      <c r="G51" s="3" t="inlineStr">
        <is>
          <t>North America</t>
        </is>
      </c>
      <c r="H51" s="3" t="inlineStr">
        <is>
          <t>United States</t>
        </is>
      </c>
      <c r="I51" s="3" t="inlineStr">
        <is>
          <t>PhD</t>
        </is>
      </c>
      <c r="J51" s="3" t="inlineStr">
        <is>
          <t>Mathematics &amp; Natural Sciences</t>
        </is>
      </c>
      <c r="K51" s="3" t="inlineStr">
        <is>
          <t>Stipend</t>
        </is>
      </c>
      <c r="L51" s="3" t="inlineStr">
        <is>
          <t>US$37,000 annual stipend + $16,000 cost of education allowance for 3 years</t>
        </is>
      </c>
      <c r="M51" s="3" t="inlineStr">
        <is>
          <t>October (Staggered by STEM discipline)</t>
        </is>
      </c>
      <c r="N51" s="3" t="inlineStr">
        <is>
          <t>US citizens, nationals, or permanent residents pursuing research-based Master's or PhD degrees in STEM fields.</t>
        </is>
      </c>
      <c r="O51" s="3" t="inlineStr">
        <is>
          <t>Very High: Graduate Research Plan Statement + Relevant Background Statement + Reference Letters</t>
        </is>
      </c>
      <c r="P51" s="3" t="inlineStr">
        <is>
          <t>US Citizens/PRs Pursuing STEM Doctorates</t>
        </is>
      </c>
      <c r="Q51" s="3" t="inlineStr"/>
      <c r="R51" s="3" t="inlineStr"/>
      <c r="S51" s="3" t="inlineStr"/>
      <c r="T51" s="3" t="inlineStr"/>
      <c r="U51" s="3" t="inlineStr"/>
      <c r="V51" s="3" t="inlineStr"/>
      <c r="W51" s="3" t="inlineStr"/>
      <c r="X51" s="3" t="inlineStr"/>
      <c r="Y51" s="3" t="inlineStr"/>
      <c r="Z51" s="3" t="inlineStr">
        <is>
          <t>STEM, Research</t>
        </is>
      </c>
      <c r="AA51" s="4" t="inlineStr"/>
      <c r="AB51" s="4" t="inlineStr"/>
      <c r="AC51" s="3">
        <f>IF(AND(E51&lt;&gt;"",COUNTIF($E$2:$E$800,E51)&gt;1),"DUPLICATE","")</f>
        <v/>
      </c>
    </row>
    <row r="52">
      <c r="A52" s="3" t="inlineStr">
        <is>
          <t>ivy-league-r1-university-fully-funded-phd-assistantships-phd</t>
        </is>
      </c>
      <c r="B52" s="3" t="inlineStr">
        <is>
          <t>Open</t>
        </is>
      </c>
      <c r="C52" s="3" t="inlineStr"/>
      <c r="D52" s="3" t="inlineStr">
        <is>
          <t>Scholarship</t>
        </is>
      </c>
      <c r="E52" s="3" t="inlineStr">
        <is>
          <t>Ivy League &amp; R1 University Fully Funded PhD Assistantships</t>
        </is>
      </c>
      <c r="F52" s="3" t="inlineStr">
        <is>
          <t>Harvard, MIT, Stanford, UC Berkeley, etc.</t>
        </is>
      </c>
      <c r="G52" s="3" t="inlineStr">
        <is>
          <t>North America</t>
        </is>
      </c>
      <c r="H52" s="3" t="inlineStr">
        <is>
          <t>United States</t>
        </is>
      </c>
      <c r="I52" s="3" t="inlineStr">
        <is>
          <t>PhD</t>
        </is>
      </c>
      <c r="J52" s="3" t="inlineStr">
        <is>
          <t>All fields</t>
        </is>
      </c>
      <c r="K52" s="3" t="inlineStr">
        <is>
          <t>Full</t>
        </is>
      </c>
      <c r="L52" s="3" t="inlineStr">
        <is>
          <t>Full Ride + RA/TA Stipend (100% Tuition waiver, health insurance, and living stipend via Teaching/Research Assistantships)</t>
        </is>
      </c>
      <c r="M52" s="3" t="inlineStr">
        <is>
          <t>December – January (Varies by university)</t>
        </is>
      </c>
      <c r="N52" s="3" t="inlineStr">
        <is>
          <t>Bachelor’s or Master’s degree holders with outstanding academic records and intensive undergraduate research experience.</t>
        </is>
      </c>
      <c r="O52" s="3" t="inlineStr">
        <is>
          <t>Very High: SOP + Writing Sample + GRE (where required) + 3 Professor Recommendation Letters</t>
        </is>
      </c>
      <c r="P52" s="3" t="inlineStr">
        <is>
          <t>Elite Academic Researchers Targeting North American R1 Doctoral Programs</t>
        </is>
      </c>
      <c r="Q52" s="3" t="inlineStr"/>
      <c r="R52" s="3" t="inlineStr"/>
      <c r="S52" s="3" t="inlineStr"/>
      <c r="T52" s="3" t="inlineStr"/>
      <c r="U52" s="3" t="inlineStr"/>
      <c r="V52" s="3" t="inlineStr"/>
      <c r="W52" s="3" t="inlineStr"/>
      <c r="X52" s="3" t="inlineStr"/>
      <c r="Y52" s="3" t="inlineStr"/>
      <c r="Z52" s="3" t="inlineStr">
        <is>
          <t>Research</t>
        </is>
      </c>
      <c r="AA52" s="4" t="inlineStr"/>
      <c r="AB52" s="4" t="inlineStr"/>
      <c r="AC52" s="3">
        <f>IF(AND(E52&lt;&gt;"",COUNTIF($E$2:$E$800,E52)&gt;1),"DUPLICATE","")</f>
        <v/>
      </c>
    </row>
    <row r="53">
      <c r="A53" s="3" t="inlineStr">
        <is>
          <t>earth-university-mastercard-foundation-scholarship-bachelor</t>
        </is>
      </c>
      <c r="B53" s="3" t="inlineStr">
        <is>
          <t>Open</t>
        </is>
      </c>
      <c r="C53" s="3" t="inlineStr"/>
      <c r="D53" s="3" t="inlineStr">
        <is>
          <t>Scholarship</t>
        </is>
      </c>
      <c r="E53" s="3" t="inlineStr">
        <is>
          <t>EARTH University Mastercard Foundation Scholarship</t>
        </is>
      </c>
      <c r="F53" s="3" t="inlineStr">
        <is>
          <t>Costa Rica / Mastercard Foundation</t>
        </is>
      </c>
      <c r="G53" s="3" t="inlineStr">
        <is>
          <t>Latin America &amp; Caribbean</t>
        </is>
      </c>
      <c r="H53" s="3" t="inlineStr">
        <is>
          <t>Costa Rica</t>
        </is>
      </c>
      <c r="I53" s="3" t="inlineStr">
        <is>
          <t>Bachelor</t>
        </is>
      </c>
      <c r="J53" s="3" t="inlineStr">
        <is>
          <t>Agriculture &amp; Food Security, Environment, Water &amp; Energy</t>
        </is>
      </c>
      <c r="K53" s="3" t="inlineStr">
        <is>
          <t>Full</t>
        </is>
      </c>
      <c r="L53" s="3" t="inlineStr">
        <is>
          <t>Full Ride (Full Tuition, On-Campus Housing, Meals, Living Stipend, Airfare, Laptop)</t>
        </is>
      </c>
      <c r="M53" s="3" t="inlineStr">
        <is>
          <t>January (Annual cycle for regional recruitment)</t>
        </is>
      </c>
      <c r="N53" s="3" t="inlineStr">
        <is>
          <t>Citizens of Latin America, the Caribbean, and select African countries; high school graduates with demonstrated financial need and commitment to agricultural sustainability/leadership.</t>
        </is>
      </c>
      <c r="O53" s="3" t="inlineStr">
        <is>
          <t>High: Comprehensive Application + Financial Need Assessment + Interviews &amp; Leadership Exercises</t>
        </is>
      </c>
      <c r="P53" s="3" t="inlineStr">
        <is>
          <t>Low-Income Rural Youth Dedicated to Agriculture and Sustainability</t>
        </is>
      </c>
      <c r="Q53" s="3" t="inlineStr"/>
      <c r="R53" s="3" t="inlineStr"/>
      <c r="S53" s="3" t="inlineStr"/>
      <c r="T53" s="3" t="inlineStr"/>
      <c r="U53" s="3" t="inlineStr"/>
      <c r="V53" s="3" t="inlineStr"/>
      <c r="W53" s="3" t="inlineStr"/>
      <c r="X53" s="3" t="inlineStr"/>
      <c r="Y53" s="3" t="inlineStr"/>
      <c r="Z53" s="3" t="inlineStr">
        <is>
          <t>Need-based</t>
        </is>
      </c>
      <c r="AA53" s="4" t="inlineStr"/>
      <c r="AB53" s="4" t="inlineStr"/>
      <c r="AC53" s="3">
        <f>IF(AND(E53&lt;&gt;"",COUNTIF($E$2:$E$800,E53)&gt;1),"DUPLICATE","")</f>
        <v/>
      </c>
    </row>
    <row r="54">
      <c r="A54" s="3" t="inlineStr">
        <is>
          <t>amexcid-mexican-government-scholarship-for-foreigners-bachel</t>
        </is>
      </c>
      <c r="B54" s="3" t="inlineStr">
        <is>
          <t>Open</t>
        </is>
      </c>
      <c r="C54" s="3" t="inlineStr"/>
      <c r="D54" s="3" t="inlineStr">
        <is>
          <t>Scholarship</t>
        </is>
      </c>
      <c r="E54" s="3" t="inlineStr">
        <is>
          <t>AMEXCID Mexican Government Scholarship for Foreigners</t>
        </is>
      </c>
      <c r="F54" s="3" t="inlineStr">
        <is>
          <t>Government of Mexico — SRE</t>
        </is>
      </c>
      <c r="G54" s="3" t="inlineStr">
        <is>
          <t>Latin America &amp; Caribbean</t>
        </is>
      </c>
      <c r="H54" s="3" t="inlineStr">
        <is>
          <t>Mexico</t>
        </is>
      </c>
      <c r="I54" s="3" t="inlineStr">
        <is>
          <t>Bachelor</t>
        </is>
      </c>
      <c r="J54" s="3" t="inlineStr">
        <is>
          <t>All fields</t>
        </is>
      </c>
      <c r="K54" s="3" t="inlineStr">
        <is>
          <t>Full</t>
        </is>
      </c>
      <c r="L54" s="3" t="inlineStr">
        <is>
          <t>Full Support (Monthly living stipend of ~4–5 times the daily minimum wage in Mexico + full tuition waiver + medical insurance)</t>
        </is>
      </c>
      <c r="M54" s="3" t="inlineStr">
        <is>
          <t>July – September (Varies by annual call)</t>
        </is>
      </c>
      <c r="N54" s="3" t="inlineStr">
        <is>
          <t>Bachelor’s degree holders or undergraduate exchange students from over 180 participating countries; intermediate Spanish proficiency.</t>
        </is>
      </c>
      <c r="O54" s="3" t="inlineStr">
        <is>
          <t>High: SRE Online Academic Portal + Certified Transcripts + Institutional Acceptance Letter in Mexico</t>
        </is>
      </c>
      <c r="P54" s="3" t="inlineStr">
        <is>
          <t>Students Seeking Undergraduate Exchange or Graduate Study in Mexico</t>
        </is>
      </c>
      <c r="Q54" s="3" t="inlineStr"/>
      <c r="R54" s="3" t="inlineStr"/>
      <c r="S54" s="3" t="inlineStr"/>
      <c r="T54" s="3" t="inlineStr"/>
      <c r="U54" s="3" t="inlineStr"/>
      <c r="V54" s="3" t="inlineStr"/>
      <c r="W54" s="3" t="inlineStr"/>
      <c r="X54" s="3" t="inlineStr"/>
      <c r="Y54" s="3" t="inlineStr"/>
      <c r="Z54" s="3" t="inlineStr"/>
      <c r="AA54" s="4" t="inlineStr"/>
      <c r="AB54" s="4" t="inlineStr"/>
      <c r="AC54" s="3">
        <f>IF(AND(E54&lt;&gt;"",COUNTIF($E$2:$E$800,E54)&gt;1),"DUPLICATE","")</f>
        <v/>
      </c>
    </row>
    <row r="55">
      <c r="A55" s="3" t="inlineStr">
        <is>
          <t>universidad-de-costa-rica-socioeconomic-grants-bachelor</t>
        </is>
      </c>
      <c r="B55" s="3" t="inlineStr">
        <is>
          <t>Open</t>
        </is>
      </c>
      <c r="C55" s="3" t="inlineStr"/>
      <c r="D55" s="3" t="inlineStr">
        <is>
          <t>Scholarship</t>
        </is>
      </c>
      <c r="E55" s="3" t="inlineStr">
        <is>
          <t>Universidad de Costa Rica Socioeconomic Grants</t>
        </is>
      </c>
      <c r="F55" s="3" t="inlineStr">
        <is>
          <t>UCR — Costa Rica</t>
        </is>
      </c>
      <c r="G55" s="3" t="inlineStr">
        <is>
          <t>Latin America &amp; Caribbean</t>
        </is>
      </c>
      <c r="H55" s="3" t="inlineStr">
        <is>
          <t>Costa Rica</t>
        </is>
      </c>
      <c r="I55" s="3" t="inlineStr">
        <is>
          <t>Bachelor</t>
        </is>
      </c>
      <c r="J55" s="3" t="inlineStr">
        <is>
          <t>All fields</t>
        </is>
      </c>
      <c r="K55" s="3" t="inlineStr">
        <is>
          <t>Full</t>
        </is>
      </c>
      <c r="L55" s="3" t="inlineStr">
        <is>
          <t>Partial to Full Tuition &amp; Living Support (Based on sliding scale socioeconomic assessment)</t>
        </is>
      </c>
      <c r="M55" s="3" t="inlineStr">
        <is>
          <t>Rolling / Semester Deadlines</t>
        </is>
      </c>
      <c r="N55" s="3" t="inlineStr">
        <is>
          <t>Local and international undergraduate students enrolled at UCR demonstrating limited financial resources and strong academic standing.</t>
        </is>
      </c>
      <c r="O55" s="3" t="inlineStr">
        <is>
          <t>Medium: University Admission + Socioeconomic Evaluation Documentation</t>
        </is>
      </c>
      <c r="P55" s="3" t="inlineStr">
        <is>
          <t>Students Seeking Affordable or Subsidized Higher Ed in Central America</t>
        </is>
      </c>
      <c r="Q55" s="3" t="inlineStr"/>
      <c r="R55" s="3" t="inlineStr"/>
      <c r="S55" s="3" t="inlineStr"/>
      <c r="T55" s="3" t="inlineStr"/>
      <c r="U55" s="3" t="inlineStr"/>
      <c r="V55" s="3" t="inlineStr"/>
      <c r="W55" s="3" t="inlineStr"/>
      <c r="X55" s="3" t="inlineStr"/>
      <c r="Y55" s="3" t="inlineStr"/>
      <c r="Z55" s="3" t="inlineStr">
        <is>
          <t>Need-based</t>
        </is>
      </c>
      <c r="AA55" s="4" t="inlineStr"/>
      <c r="AB55" s="4" t="inlineStr"/>
      <c r="AC55" s="3">
        <f>IF(AND(E55&lt;&gt;"",COUNTIF($E$2:$E$800,E55)&gt;1),"DUPLICATE","")</f>
        <v/>
      </c>
    </row>
    <row r="56">
      <c r="A56" s="3" t="inlineStr">
        <is>
          <t>oas-academic-scholarship-program-paec-regular-program-master</t>
        </is>
      </c>
      <c r="B56" s="3" t="inlineStr">
        <is>
          <t>Open</t>
        </is>
      </c>
      <c r="C56" s="3" t="inlineStr"/>
      <c r="D56" s="3" t="inlineStr">
        <is>
          <t>Scholarship</t>
        </is>
      </c>
      <c r="E56" s="3" t="inlineStr">
        <is>
          <t>OAS Academic Scholarship Program (PAEC / Regular Program)</t>
        </is>
      </c>
      <c r="F56" s="3" t="inlineStr">
        <is>
          <t>Organization of American States</t>
        </is>
      </c>
      <c r="G56" s="3" t="inlineStr">
        <is>
          <t>Latin America &amp; Caribbean</t>
        </is>
      </c>
      <c r="H56" s="3" t="inlineStr"/>
      <c r="I56" s="3" t="inlineStr">
        <is>
          <t>Master</t>
        </is>
      </c>
      <c r="J56" s="3" t="inlineStr">
        <is>
          <t>All fields</t>
        </is>
      </c>
      <c r="K56" s="3" t="inlineStr">
        <is>
          <t>Partial</t>
        </is>
      </c>
      <c r="L56" s="3" t="inlineStr">
        <is>
          <t>Complementary Grant (Up to USD $10,000 per academic year covering tuition, health insurance, and partial subsistence allowance)</t>
        </is>
      </c>
      <c r="M56" s="3" t="inlineStr">
        <is>
          <t>April – June (Varies by partner university network call)</t>
        </is>
      </c>
      <c r="N56" s="3" t="inlineStr">
        <is>
          <t>Citizen or permanent resident of an OAS Member State; holds a first Bachelor's degree; admission to an eligible university in an OAS country.</t>
        </is>
      </c>
      <c r="O56" s="3" t="inlineStr">
        <is>
          <t>High: OAS Online Application Form + 2 Recommendation Letters + University Admission Letter</t>
        </is>
      </c>
      <c r="P56" s="3" t="inlineStr">
        <is>
          <t>Citizens of OAS Member States Seeking Hemispheric Graduate Study</t>
        </is>
      </c>
      <c r="Q56" s="3" t="inlineStr">
        <is>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is>
      </c>
      <c r="R56" s="3" t="inlineStr">
        <is>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is>
      </c>
      <c r="S56" s="3" t="inlineStr">
        <is>
          <t>Academic merit and GPA (30%), Potential impact of the study program on the applicant's home country (30%), Financial need and completeness of documentation (25%), Geographic distribution across OAS member states (15%).</t>
        </is>
      </c>
      <c r="T56" s="3" t="inlineStr">
        <is>
          <t>Dedicated public administrators, environmental scientists, and educators from Latin America and the Caribbean who secure university admission independently and leverage OAS complementary funding to complete degrees in the US, Brazil, Mexico, or Caribbean partner institutions.</t>
        </is>
      </c>
      <c r="U56" s="3" t="inlineStr"/>
      <c r="V56" s="3" t="inlineStr">
        <is>
          <t>http://www.oas.org/en/scholarships/</t>
        </is>
      </c>
      <c r="W56" s="3" t="inlineStr"/>
      <c r="X56" s="3" t="inlineStr"/>
      <c r="Y56" s="3" t="inlineStr"/>
      <c r="Z56" s="3" t="inlineStr"/>
      <c r="AA56" s="4" t="inlineStr"/>
      <c r="AB56" s="4" t="inlineStr"/>
      <c r="AC56" s="3">
        <f>IF(AND(E56&lt;&gt;"",COUNTIF($E$2:$E$800,E56)&gt;1),"DUPLICATE","")</f>
        <v/>
      </c>
    </row>
    <row r="57">
      <c r="A57" s="3" t="inlineStr">
        <is>
          <t>gcub-brazil-international-master-s-phd-scholarship-programme</t>
        </is>
      </c>
      <c r="B57" s="3" t="inlineStr">
        <is>
          <t>Open</t>
        </is>
      </c>
      <c r="C57" s="3" t="inlineStr"/>
      <c r="D57" s="3" t="inlineStr">
        <is>
          <t>Scholarship</t>
        </is>
      </c>
      <c r="E57" s="3" t="inlineStr">
        <is>
          <t>GCUB-Brazil International Master’s &amp; PhD Scholarship Programme</t>
        </is>
      </c>
      <c r="F57" s="3" t="inlineStr">
        <is>
          <t>Brazil — GCUB</t>
        </is>
      </c>
      <c r="G57" s="3" t="inlineStr">
        <is>
          <t>Latin America &amp; Caribbean</t>
        </is>
      </c>
      <c r="H57" s="3" t="inlineStr">
        <is>
          <t>Brazil</t>
        </is>
      </c>
      <c r="I57" s="3" t="inlineStr">
        <is>
          <t>Master</t>
        </is>
      </c>
      <c r="J57" s="3" t="inlineStr">
        <is>
          <t>All fields</t>
        </is>
      </c>
      <c r="K57" s="3" t="inlineStr">
        <is>
          <t>Full</t>
        </is>
      </c>
      <c r="L57" s="3" t="inlineStr">
        <is>
          <t>Full Tuition Waiver + Monthly Living Stipend (Provided by Brazilian federal/state universities during the course duration)</t>
        </is>
      </c>
      <c r="M57" s="3" t="inlineStr">
        <is>
          <t>July (Annual call across 60+ Brazilian universities)</t>
        </is>
      </c>
      <c r="N57" s="3" t="inlineStr">
        <is>
          <t>International students holding an undergraduate degree; willingness to study in Portuguese (includes introductory language tracks in select host universities).</t>
        </is>
      </c>
      <c r="O57" s="3" t="inlineStr">
        <is>
          <t>High: Unified GCUB Online Application Form + CV + Academic Statement of Purpose</t>
        </is>
      </c>
      <c r="P57" s="3" t="inlineStr">
        <is>
          <t>International Graduates Open to Postgraduate Study in Brazil</t>
        </is>
      </c>
      <c r="Q57" s="3"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57" s="3"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57" s="3" t="inlineStr">
        <is>
          <t>Academic record and GPA strength (40%), Alignment of research goals with Brazilian graduate programs (40%), Completeness and presentation of documentation (20%).</t>
        </is>
      </c>
      <c r="T57" s="3" t="inlineStr">
        <is>
          <t>Highly motivated international researchers who embrace linguistic adaptation (Portuguese immersion) and tap into Brazil’s robust agricultural, public health, and engineering laboratory networks.</t>
        </is>
      </c>
      <c r="U57" s="3" t="inlineStr"/>
      <c r="V57" s="3" t="inlineStr">
        <is>
          <t>http://www.gcub.org.br/</t>
        </is>
      </c>
      <c r="W57" s="3" t="inlineStr"/>
      <c r="X57" s="3" t="inlineStr"/>
      <c r="Y57" s="3" t="inlineStr"/>
      <c r="Z57" s="3" t="inlineStr"/>
      <c r="AA57" s="4" t="inlineStr"/>
      <c r="AB57" s="4" t="inlineStr"/>
      <c r="AC57" s="3">
        <f>IF(AND(E57&lt;&gt;"",COUNTIF($E$2:$E$800,E57)&gt;1),"DUPLICATE","")</f>
        <v/>
      </c>
    </row>
    <row r="58">
      <c r="A58" s="3" t="inlineStr">
        <is>
          <t>becas-chile-anid-postgraduate-scholarships-master</t>
        </is>
      </c>
      <c r="B58" s="3" t="inlineStr">
        <is>
          <t>Open</t>
        </is>
      </c>
      <c r="C58" s="3" t="inlineStr"/>
      <c r="D58" s="3" t="inlineStr">
        <is>
          <t>Scholarship</t>
        </is>
      </c>
      <c r="E58" s="3" t="inlineStr">
        <is>
          <t>Becas Chile (ANID Postgraduate Scholarships)</t>
        </is>
      </c>
      <c r="F58" s="3" t="inlineStr">
        <is>
          <t>Government of Chile</t>
        </is>
      </c>
      <c r="G58" s="3" t="inlineStr">
        <is>
          <t>Latin America &amp; Caribbean</t>
        </is>
      </c>
      <c r="H58" s="3" t="inlineStr">
        <is>
          <t>Chile</t>
        </is>
      </c>
      <c r="I58" s="3" t="inlineStr">
        <is>
          <t>Master</t>
        </is>
      </c>
      <c r="J58" s="3" t="inlineStr">
        <is>
          <t>All fields</t>
        </is>
      </c>
      <c r="K58" s="3" t="inlineStr">
        <is>
          <t>Full</t>
        </is>
      </c>
      <c r="L58" s="3" t="inlineStr">
        <is>
          <t>Full Funding Support (Tuition fees, maintenance allowance, return airfare, health insurance for Master's/PhD)</t>
        </is>
      </c>
      <c r="M58" s="3" t="inlineStr">
        <is>
          <t>Staggered (Annual calls handled via ANID portals)</t>
        </is>
      </c>
      <c r="N58" s="3" t="inlineStr">
        <is>
          <t>Open to national and international candidates meeting residency/academic criteria for postgraduate study at accredited Chilean universities.</t>
        </is>
      </c>
      <c r="O58" s="3" t="inlineStr">
        <is>
          <t>High: Online ANID Portal Application + Academic Transcripts + Detailed Research/Study Program</t>
        </is>
      </c>
      <c r="P58" s="3" t="inlineStr">
        <is>
          <t>Researchers Targeting Advanced Study in South America</t>
        </is>
      </c>
      <c r="Q58" s="3" t="inlineStr"/>
      <c r="R58" s="3" t="inlineStr"/>
      <c r="S58" s="3" t="inlineStr"/>
      <c r="T58" s="3" t="inlineStr"/>
      <c r="U58" s="3" t="inlineStr"/>
      <c r="V58" s="3" t="inlineStr"/>
      <c r="W58" s="3" t="inlineStr"/>
      <c r="X58" s="3" t="inlineStr"/>
      <c r="Y58" s="3" t="inlineStr"/>
      <c r="Z58" s="3" t="inlineStr"/>
      <c r="AA58" s="4" t="inlineStr"/>
      <c r="AB58" s="4" t="inlineStr"/>
      <c r="AC58" s="3">
        <f>IF(AND(E58&lt;&gt;"",COUNTIF($E$2:$E$800,E58)&gt;1),"DUPLICATE","")</f>
        <v/>
      </c>
    </row>
    <row r="59">
      <c r="A59" s="3" t="inlineStr">
        <is>
          <t>the-rowe-fund-program-oas-master</t>
        </is>
      </c>
      <c r="B59" s="3" t="inlineStr">
        <is>
          <t>Open</t>
        </is>
      </c>
      <c r="C59" s="3" t="inlineStr"/>
      <c r="D59" s="3" t="inlineStr">
        <is>
          <t>Scholarship</t>
        </is>
      </c>
      <c r="E59" s="3" t="inlineStr">
        <is>
          <t>The Rowe Fund Program (OAS)</t>
        </is>
      </c>
      <c r="F59" s="3" t="inlineStr">
        <is>
          <t>Organization of American States</t>
        </is>
      </c>
      <c r="G59" s="3" t="inlineStr">
        <is>
          <t>Latin America &amp; Caribbean</t>
        </is>
      </c>
      <c r="H59" s="3" t="inlineStr">
        <is>
          <t>United States</t>
        </is>
      </c>
      <c r="I59" s="3" t="inlineStr">
        <is>
          <t>Master</t>
        </is>
      </c>
      <c r="J59" s="3" t="inlineStr">
        <is>
          <t>All fields</t>
        </is>
      </c>
      <c r="K59" s="3" t="inlineStr">
        <is>
          <t>Partial</t>
        </is>
      </c>
      <c r="L59" s="3" t="inlineStr">
        <is>
          <t>Interest-Free Loan + Supplemental Scholarship (Up to $15,000 interest-free loan + $2,000 grant)</t>
        </is>
      </c>
      <c r="M59" s="3" t="inlineStr">
        <is>
          <t>Rolling / Year-Round</t>
        </is>
      </c>
      <c r="N59" s="3" t="inlineStr">
        <is>
          <t>Nationals of Latin American and Caribbean OAS member states in the last two years of undergraduate or graduate studies in the USA.</t>
        </is>
      </c>
      <c r="O59" s="3" t="inlineStr">
        <is>
          <t>Medium: Loan Application + Guarantor Documentation + Proof of Enrollment</t>
        </is>
      </c>
      <c r="P59" s="3" t="inlineStr">
        <is>
          <t>Students Seeking Financial Gap-Bridging Loans for Study in the Americas</t>
        </is>
      </c>
      <c r="Q59" s="3" t="inlineStr"/>
      <c r="R59" s="3" t="inlineStr"/>
      <c r="S59" s="3" t="inlineStr"/>
      <c r="T59" s="3" t="inlineStr"/>
      <c r="U59" s="3" t="inlineStr"/>
      <c r="V59" s="3" t="inlineStr"/>
      <c r="W59" s="3" t="inlineStr"/>
      <c r="X59" s="3" t="inlineStr"/>
      <c r="Y59" s="3" t="inlineStr"/>
      <c r="Z59" s="3" t="inlineStr"/>
      <c r="AA59" s="4" t="inlineStr"/>
      <c r="AB59" s="4" t="inlineStr"/>
      <c r="AC59" s="3">
        <f>IF(AND(E59&lt;&gt;"",COUNTIF($E$2:$E$800,E59)&gt;1),"DUPLICATE","")</f>
        <v/>
      </c>
    </row>
    <row r="60">
      <c r="A60" s="3" t="inlineStr">
        <is>
          <t>twas-dbt-twas-cnpq-postgraduate-fellowship-programmes-phd</t>
        </is>
      </c>
      <c r="B60" s="3" t="inlineStr">
        <is>
          <t>Open</t>
        </is>
      </c>
      <c r="C60" s="3" t="inlineStr"/>
      <c r="D60" s="3" t="inlineStr">
        <is>
          <t>Scholarship</t>
        </is>
      </c>
      <c r="E60" s="3" t="inlineStr">
        <is>
          <t>TWAS-DBT / TWAS-CNPq Postgraduate Fellowship Programmes</t>
        </is>
      </c>
      <c r="F60" s="3" t="inlineStr">
        <is>
          <t>The World Academy of Sciences &amp; Brazil/India/China</t>
        </is>
      </c>
      <c r="G60" s="3" t="inlineStr">
        <is>
          <t>Latin America &amp; Caribbean</t>
        </is>
      </c>
      <c r="H60" s="3" t="inlineStr">
        <is>
          <t>China, Brazil</t>
        </is>
      </c>
      <c r="I60" s="3" t="inlineStr">
        <is>
          <t>PhD</t>
        </is>
      </c>
      <c r="J60" s="3" t="inlineStr">
        <is>
          <t>All fields</t>
        </is>
      </c>
      <c r="K60" s="3" t="inlineStr">
        <is>
          <t>Full</t>
        </is>
      </c>
      <c r="L60" s="3" t="inlineStr">
        <is>
          <t>Full Research Stipend (Living costs, food, and accommodation covered; bench fees and health insurance support)</t>
        </is>
      </c>
      <c r="M60" s="3" t="inlineStr">
        <is>
          <t>Staggered (Typically mid-year calls)</t>
        </is>
      </c>
      <c r="N60" s="3" t="inlineStr">
        <is>
          <t>Young scientists from developing countries (excluding the host country) holding a Master’s degree in a scientific field to conduct PhD research abroad.</t>
        </is>
      </c>
      <c r="O60" s="3" t="inlineStr">
        <is>
          <t>High: Acceptance Letter from Host Institution in Brazil/Global South + Research Proposal + References</t>
        </is>
      </c>
      <c r="P60" s="3" t="inlineStr">
        <is>
          <t>Developing-Country Scientists Seeking South-South Doctoral Research</t>
        </is>
      </c>
      <c r="Q60" s="3" t="inlineStr"/>
      <c r="R60" s="3" t="inlineStr"/>
      <c r="S60" s="3" t="inlineStr"/>
      <c r="T60" s="3" t="inlineStr"/>
      <c r="U60" s="3" t="inlineStr"/>
      <c r="V60" s="3" t="inlineStr"/>
      <c r="W60" s="3" t="inlineStr"/>
      <c r="X60" s="3" t="inlineStr"/>
      <c r="Y60" s="3" t="inlineStr"/>
      <c r="Z60" s="3" t="inlineStr">
        <is>
          <t>STEM, Research</t>
        </is>
      </c>
      <c r="AA60" s="4" t="inlineStr"/>
      <c r="AB60" s="4" t="inlineStr"/>
      <c r="AC60" s="3">
        <f>IF(AND(E60&lt;&gt;"",COUNTIF($E$2:$E$800,E60)&gt;1),"DUPLICATE","")</f>
        <v/>
      </c>
    </row>
    <row r="61">
      <c r="A61" s="3" t="inlineStr">
        <is>
          <t>gcub-brazil-doctoral-fellowship-track-phd</t>
        </is>
      </c>
      <c r="B61" s="3" t="inlineStr">
        <is>
          <t>Open</t>
        </is>
      </c>
      <c r="C61" s="3" t="inlineStr"/>
      <c r="D61" s="3" t="inlineStr">
        <is>
          <t>Scholarship</t>
        </is>
      </c>
      <c r="E61" s="3" t="inlineStr">
        <is>
          <t>GCUB-Brazil Doctoral Fellowship Track</t>
        </is>
      </c>
      <c r="F61" s="3" t="inlineStr">
        <is>
          <t>GCUB &amp; Brazilian Universities</t>
        </is>
      </c>
      <c r="G61" s="3" t="inlineStr">
        <is>
          <t>Latin America &amp; Caribbean</t>
        </is>
      </c>
      <c r="H61" s="3" t="inlineStr">
        <is>
          <t>Brazil</t>
        </is>
      </c>
      <c r="I61" s="3" t="inlineStr">
        <is>
          <t>PhD</t>
        </is>
      </c>
      <c r="J61" s="3" t="inlineStr">
        <is>
          <t>All fields</t>
        </is>
      </c>
      <c r="K61" s="3" t="inlineStr">
        <is>
          <t>Full</t>
        </is>
      </c>
      <c r="L61" s="3" t="inlineStr">
        <is>
          <t>Full Tuition Waiver + Monthly Stipend (Full doctoral funding for up to 48 months at top-tier Brazilian research universities)</t>
        </is>
      </c>
      <c r="M61" s="3" t="inlineStr">
        <is>
          <t>July (Annual unified call)</t>
        </is>
      </c>
      <c r="N61" s="3" t="inlineStr">
        <is>
          <t>Master’s degree holders from across the globe; research proposal aligned with Brazilian graduate program faculty lines.</t>
        </is>
      </c>
      <c r="O61" s="3" t="inlineStr">
        <is>
          <t>High: Unified Application Portal + Doctoral Research Project Outline + Academic CV</t>
        </is>
      </c>
      <c r="P61" s="3" t="inlineStr">
        <is>
          <t>Master's Graduates Ready for Long-Term Doctoral Research in Brazil</t>
        </is>
      </c>
      <c r="Q61" s="3"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61" s="3"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61" s="3" t="inlineStr">
        <is>
          <t>Academic record and GPA strength (40%), Alignment of research goals with Brazilian graduate programs (40%), Completeness and presentation of documentation (20%).</t>
        </is>
      </c>
      <c r="T61" s="3" t="inlineStr">
        <is>
          <t>Highly motivated international researchers who embrace linguistic adaptation (Portuguese immersion) and tap into Brazil’s robust agricultural, public health, and engineering laboratory networks.</t>
        </is>
      </c>
      <c r="U61" s="3" t="inlineStr"/>
      <c r="V61" s="3" t="inlineStr">
        <is>
          <t>http://www.gcub.org.br/</t>
        </is>
      </c>
      <c r="W61" s="3" t="inlineStr"/>
      <c r="X61" s="3" t="inlineStr"/>
      <c r="Y61" s="3" t="inlineStr"/>
      <c r="Z61" s="3" t="inlineStr">
        <is>
          <t>Research</t>
        </is>
      </c>
      <c r="AA61" s="4" t="inlineStr"/>
      <c r="AB61" s="4" t="inlineStr"/>
      <c r="AC61" s="3">
        <f>IF(AND(E61&lt;&gt;"",COUNTIF($E$2:$E$800,E61)&gt;1),"DUPLICATE","")</f>
        <v/>
      </c>
    </row>
    <row r="62">
      <c r="A62" s="3" t="inlineStr">
        <is>
          <t>fundaci-n-carolina-postgraduate-phd-fellowships-phd</t>
        </is>
      </c>
      <c r="B62" s="3" t="inlineStr">
        <is>
          <t>Open</t>
        </is>
      </c>
      <c r="C62" s="3" t="inlineStr"/>
      <c r="D62" s="3" t="inlineStr">
        <is>
          <t>Scholarship</t>
        </is>
      </c>
      <c r="E62" s="3" t="inlineStr">
        <is>
          <t>Fundación Carolina Postgraduate &amp; PhD Fellowships</t>
        </is>
      </c>
      <c r="F62" s="3" t="inlineStr">
        <is>
          <t>Spain &amp; Latin America</t>
        </is>
      </c>
      <c r="G62" s="3" t="inlineStr">
        <is>
          <t>Latin America &amp; Caribbean</t>
        </is>
      </c>
      <c r="H62" s="3" t="inlineStr">
        <is>
          <t>Spain</t>
        </is>
      </c>
      <c r="I62" s="3" t="inlineStr">
        <is>
          <t>PhD</t>
        </is>
      </c>
      <c r="J62" s="3" t="inlineStr">
        <is>
          <t>All fields</t>
        </is>
      </c>
      <c r="K62" s="3" t="inlineStr">
        <is>
          <t>Full</t>
        </is>
      </c>
      <c r="L62" s="3" t="inlineStr">
        <is>
          <t>Full Support (Airfare, tuition fee coverage, health insurance, and monthly stipend for doctoral/postdoctoral research)</t>
        </is>
      </c>
      <c r="M62" s="3" t="inlineStr">
        <is>
          <t>March (Annual call for Latin American scholars)</t>
        </is>
      </c>
      <c r="N62" s="3" t="inlineStr">
        <is>
          <t>Nationals of a Latin American country belonging to the Ibero-American Community of Nations; excellent academic record.</t>
        </is>
      </c>
      <c r="O62" s="3" t="inlineStr">
        <is>
          <t>High: Fundación Carolina Portal Application + Academic Transcripts + Letters of Recommendation</t>
        </is>
      </c>
      <c r="P62" s="3" t="inlineStr">
        <is>
          <t>Latin American Scholars Pursuing Advanced Research Ties with Spain</t>
        </is>
      </c>
      <c r="Q62" s="3" t="inlineStr"/>
      <c r="R62" s="3" t="inlineStr"/>
      <c r="S62" s="3" t="inlineStr"/>
      <c r="T62" s="3" t="inlineStr"/>
      <c r="U62" s="3" t="inlineStr"/>
      <c r="V62" s="3" t="inlineStr"/>
      <c r="W62" s="3" t="inlineStr"/>
      <c r="X62" s="3" t="inlineStr"/>
      <c r="Y62" s="3" t="inlineStr"/>
      <c r="Z62" s="3" t="inlineStr"/>
      <c r="AA62" s="4" t="inlineStr"/>
      <c r="AB62" s="4" t="inlineStr"/>
      <c r="AC62" s="3">
        <f>IF(AND(E62&lt;&gt;"",COUNTIF($E$2:$E$800,E62)&gt;1),"DUPLICATE","")</f>
        <v/>
      </c>
    </row>
    <row r="63">
      <c r="A63" s="3" t="inlineStr">
        <is>
          <t>australia-awards-scholarships-undergraduate-track-bachelor</t>
        </is>
      </c>
      <c r="B63" s="3" t="inlineStr">
        <is>
          <t>Open</t>
        </is>
      </c>
      <c r="C63" s="3" t="inlineStr"/>
      <c r="D63" s="3" t="inlineStr">
        <is>
          <t>Scholarship</t>
        </is>
      </c>
      <c r="E63" s="3" t="inlineStr">
        <is>
          <t>Australia Awards Scholarships (Undergraduate Track)</t>
        </is>
      </c>
      <c r="F63" s="3" t="inlineStr">
        <is>
          <t>Australian Department of Foreign Affairs and Trade — DFAT</t>
        </is>
      </c>
      <c r="G63" s="3" t="inlineStr">
        <is>
          <t>Oceania</t>
        </is>
      </c>
      <c r="H63" s="3" t="inlineStr">
        <is>
          <t>Australia</t>
        </is>
      </c>
      <c r="I63" s="3" t="inlineStr">
        <is>
          <t>Bachelor</t>
        </is>
      </c>
      <c r="J63" s="3" t="inlineStr">
        <is>
          <t>All fields</t>
        </is>
      </c>
      <c r="K63" s="3" t="inlineStr">
        <is>
          <t>Full</t>
        </is>
      </c>
      <c r="L63" s="3" t="inlineStr">
        <is>
          <t>Full Ride (Full tuition fees, return airfare, establishment allowance, contribution to living expenses, OSHC)</t>
        </is>
      </c>
      <c r="M63" s="3" t="inlineStr">
        <is>
          <t>April 30 (Annual cycle for following year intake)</t>
        </is>
      </c>
      <c r="N63" s="3" t="inlineStr">
        <is>
          <t>Citizens of participating developing partner countries (primarily Pacific region and select SIDS for undergraduate study); leadership potential.</t>
        </is>
      </c>
      <c r="O63" s="3" t="inlineStr">
        <is>
          <t>High: Online OASIS Portal Application + Country-Specific Supplementary Forms + References</t>
        </is>
      </c>
      <c r="P63" s="3" t="inlineStr">
        <is>
          <t>Eligible Pacific Region High School Graduates</t>
        </is>
      </c>
      <c r="Q63" s="3"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3" s="3"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3" s="3" t="inlineStr">
        <is>
          <t>Academic competence (30%), Professional and leadership competence (40%), Potential outcome contribution to home country's development (30%).</t>
        </is>
      </c>
      <c r="T63" s="3" t="inlineStr">
        <is>
          <t>Mid-career government officials, NGO directors, and sector specialists from eligible developing nations who demonstrate a clear strategy to drive reform upon returning home (note: scholars must leave Australia for at least 2 years post-graduation).</t>
        </is>
      </c>
      <c r="U63" s="3" t="inlineStr"/>
      <c r="V63" s="3" t="inlineStr">
        <is>
          <t>https://www.dfat.gov.au/people-to-people/australia-awards/australia-awards-scholarships</t>
        </is>
      </c>
      <c r="W63" s="3" t="inlineStr"/>
      <c r="X63" s="3" t="inlineStr"/>
      <c r="Y63" s="3" t="inlineStr"/>
      <c r="Z63" s="3" t="inlineStr"/>
      <c r="AA63" s="4" t="inlineStr"/>
      <c r="AB63" s="4" t="inlineStr"/>
      <c r="AC63" s="3">
        <f>IF(AND(E63&lt;&gt;"",COUNTIF($E$2:$E$800,E63)&gt;1),"DUPLICATE","")</f>
        <v/>
      </c>
    </row>
    <row r="64">
      <c r="A64" s="3" t="inlineStr">
        <is>
          <t>university-of-sydney-international-strategic-scholarships-ba</t>
        </is>
      </c>
      <c r="B64" s="3" t="inlineStr">
        <is>
          <t>Open</t>
        </is>
      </c>
      <c r="C64" s="3" t="inlineStr"/>
      <c r="D64" s="3" t="inlineStr">
        <is>
          <t>Scholarship</t>
        </is>
      </c>
      <c r="E64" s="3" t="inlineStr">
        <is>
          <t>University of Sydney International Strategic Scholarships</t>
        </is>
      </c>
      <c r="F64" s="3" t="inlineStr">
        <is>
          <t>University of Sydney</t>
        </is>
      </c>
      <c r="G64" s="3" t="inlineStr">
        <is>
          <t>Oceania</t>
        </is>
      </c>
      <c r="H64" s="3" t="inlineStr">
        <is>
          <t>Australia</t>
        </is>
      </c>
      <c r="I64" s="3" t="inlineStr">
        <is>
          <t>Bachelor</t>
        </is>
      </c>
      <c r="J64" s="3" t="inlineStr">
        <is>
          <t>All fields</t>
        </is>
      </c>
      <c r="K64" s="3" t="inlineStr">
        <is>
          <t>Full</t>
        </is>
      </c>
      <c r="L64" s="3" t="inlineStr">
        <is>
          <t>Full Tuition + Living Allowance Support (Varies by specific faculty and merit tier)</t>
        </is>
      </c>
      <c r="M64" s="3" t="inlineStr">
        <is>
          <t>January / July (Aligned with intake semesters)</t>
        </is>
      </c>
      <c r="N64" s="3" t="inlineStr">
        <is>
          <t>International students enrolling in undergraduate coursework; outstanding high school academic results (ATAR/IB equivalents).</t>
        </is>
      </c>
      <c r="O64" s="3" t="inlineStr">
        <is>
          <t>Medium: University Admission Application + Automatic Consideration or Secondary Form</t>
        </is>
      </c>
      <c r="P64" s="3" t="inlineStr">
        <is>
          <t>High-Achieving International Undergraduates Targeting Sydney</t>
        </is>
      </c>
      <c r="Q64" s="3" t="inlineStr"/>
      <c r="R64" s="3" t="inlineStr"/>
      <c r="S64" s="3" t="inlineStr"/>
      <c r="T64" s="3" t="inlineStr"/>
      <c r="U64" s="3" t="inlineStr"/>
      <c r="V64" s="3" t="inlineStr"/>
      <c r="W64" s="3" t="inlineStr"/>
      <c r="X64" s="3" t="inlineStr"/>
      <c r="Y64" s="3" t="inlineStr"/>
      <c r="Z64" s="3" t="inlineStr"/>
      <c r="AA64" s="4" t="inlineStr"/>
      <c r="AB64" s="4" t="inlineStr"/>
      <c r="AC64" s="3">
        <f>IF(AND(E64&lt;&gt;"",COUNTIF($E$2:$E$800,E64)&gt;1),"DUPLICATE","")</f>
        <v/>
      </c>
    </row>
    <row r="65">
      <c r="A65" s="3" t="inlineStr">
        <is>
          <t>monash-university-international-leadership-scholarship-bache</t>
        </is>
      </c>
      <c r="B65" s="3" t="inlineStr">
        <is>
          <t>Open</t>
        </is>
      </c>
      <c r="C65" s="3" t="inlineStr"/>
      <c r="D65" s="3" t="inlineStr">
        <is>
          <t>Scholarship</t>
        </is>
      </c>
      <c r="E65" s="3" t="inlineStr">
        <is>
          <t>Monash University International Leadership Scholarship</t>
        </is>
      </c>
      <c r="F65" s="3" t="inlineStr">
        <is>
          <t>Monash University</t>
        </is>
      </c>
      <c r="G65" s="3" t="inlineStr">
        <is>
          <t>Oceania</t>
        </is>
      </c>
      <c r="H65" s="3" t="inlineStr">
        <is>
          <t>Australia</t>
        </is>
      </c>
      <c r="I65" s="3" t="inlineStr">
        <is>
          <t>Bachelor</t>
        </is>
      </c>
      <c r="J65" s="3" t="inlineStr">
        <is>
          <t>All fields</t>
        </is>
      </c>
      <c r="K65" s="3" t="inlineStr">
        <is>
          <t>Full</t>
        </is>
      </c>
      <c r="L65" s="3" t="inlineStr">
        <is>
          <t>100% Coursework Tuition Fee Waiver (For the full normal duration of the undergraduate degree)</t>
        </is>
      </c>
      <c r="M65" s="3" t="inlineStr">
        <is>
          <t>December / November (Staggered rounds)</t>
        </is>
      </c>
      <c r="N65" s="3" t="inlineStr">
        <is>
          <t>International students receiving a full-fee undergraduate offer; exceptional leadership skills and community engagement.</t>
        </is>
      </c>
      <c r="O65" s="3" t="inlineStr">
        <is>
          <t>High: University Admission Offer + Scholarship Application + 500-word Personal Statement</t>
        </is>
      </c>
      <c r="P65" s="3" t="inlineStr">
        <is>
          <t>Exceptional International Undergraduates with Leadership Records</t>
        </is>
      </c>
      <c r="Q65" s="3" t="inlineStr"/>
      <c r="R65" s="3" t="inlineStr"/>
      <c r="S65" s="3" t="inlineStr"/>
      <c r="T65" s="3" t="inlineStr"/>
      <c r="U65" s="3" t="inlineStr"/>
      <c r="V65" s="3" t="inlineStr"/>
      <c r="W65" s="3" t="inlineStr"/>
      <c r="X65" s="3" t="inlineStr"/>
      <c r="Y65" s="3" t="inlineStr"/>
      <c r="Z65" s="3" t="inlineStr"/>
      <c r="AA65" s="4" t="inlineStr"/>
      <c r="AB65" s="4" t="inlineStr"/>
      <c r="AC65" s="3">
        <f>IF(AND(E65&lt;&gt;"",COUNTIF($E$2:$E$800,E65)&gt;1),"DUPLICATE","")</f>
        <v/>
      </c>
    </row>
    <row r="66">
      <c r="A66" s="3" t="inlineStr">
        <is>
          <t>australia-awards-scholarships-master-s-track-master</t>
        </is>
      </c>
      <c r="B66" s="3" t="inlineStr">
        <is>
          <t>Open</t>
        </is>
      </c>
      <c r="C66" s="3" t="inlineStr"/>
      <c r="D66" s="3" t="inlineStr">
        <is>
          <t>Scholarship</t>
        </is>
      </c>
      <c r="E66" s="3" t="inlineStr">
        <is>
          <t>Australia Awards Scholarships (Master's Track)</t>
        </is>
      </c>
      <c r="F66" s="3" t="inlineStr">
        <is>
          <t>Australian DFAT</t>
        </is>
      </c>
      <c r="G66" s="3" t="inlineStr">
        <is>
          <t>Oceania</t>
        </is>
      </c>
      <c r="H66" s="3" t="inlineStr">
        <is>
          <t>Australia</t>
        </is>
      </c>
      <c r="I66" s="3" t="inlineStr">
        <is>
          <t>Master</t>
        </is>
      </c>
      <c r="J66" s="3" t="inlineStr">
        <is>
          <t>All fields</t>
        </is>
      </c>
      <c r="K66" s="3" t="inlineStr">
        <is>
          <t>Full</t>
        </is>
      </c>
      <c r="L66" s="3" t="inlineStr">
        <is>
          <t>Full Ride (Full tuition, return airfares, establishment allowance, living stipend, overseas student health cover)</t>
        </is>
      </c>
      <c r="M66" s="3" t="inlineStr">
        <is>
          <t>April 30 (Annual cycle)</t>
        </is>
      </c>
      <c r="N66" s="3" t="inlineStr">
        <is>
          <t>Citizens of target partner countries across Asia, the Pacific, Africa, and the Middle East; professional work experience.</t>
        </is>
      </c>
      <c r="O66" s="3" t="inlineStr">
        <is>
          <t>High: OASIS Portal Application + Professional CV + Employer Support + 2 Referees</t>
        </is>
      </c>
      <c r="P66" s="3" t="inlineStr">
        <is>
          <t>Mid-Career Professionals from Eligible Partner Countries</t>
        </is>
      </c>
      <c r="Q66" s="3"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6" s="3"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6" s="3" t="inlineStr">
        <is>
          <t>Academic competence (30%), Professional and leadership competence (40%), Potential outcome contribution to home country's development (30%).</t>
        </is>
      </c>
      <c r="T66" s="3" t="inlineStr">
        <is>
          <t>Mid-career government officials, NGO directors, and sector specialists from eligible developing nations who demonstrate a clear strategy to drive reform upon returning home (note: scholars must leave Australia for at least 2 years post-graduation).</t>
        </is>
      </c>
      <c r="U66" s="3" t="inlineStr"/>
      <c r="V66" s="3" t="inlineStr">
        <is>
          <t>https://www.dfat.gov.au/people-to-people/australia-awards/australia-awards-scholarships</t>
        </is>
      </c>
      <c r="W66" s="3" t="inlineStr"/>
      <c r="X66" s="3" t="inlineStr"/>
      <c r="Y66" s="3" t="inlineStr"/>
      <c r="Z66" s="3" t="inlineStr">
        <is>
          <t>Work experience</t>
        </is>
      </c>
      <c r="AA66" s="4" t="inlineStr"/>
      <c r="AB66" s="4" t="inlineStr"/>
      <c r="AC66" s="3">
        <f>IF(AND(E66&lt;&gt;"",COUNTIF($E$2:$E$800,E66)&gt;1),"DUPLICATE","")</f>
        <v/>
      </c>
    </row>
    <row r="67">
      <c r="A67" s="3" t="inlineStr">
        <is>
          <t>australia-for-asean-scholarships-master</t>
        </is>
      </c>
      <c r="B67" s="3" t="inlineStr">
        <is>
          <t>Open</t>
        </is>
      </c>
      <c r="C67" s="3" t="inlineStr"/>
      <c r="D67" s="3" t="inlineStr">
        <is>
          <t>Scholarship</t>
        </is>
      </c>
      <c r="E67" s="3" t="inlineStr">
        <is>
          <t>Australia for ASEAN Scholarships</t>
        </is>
      </c>
      <c r="F67" s="3" t="inlineStr">
        <is>
          <t>Australian Government</t>
        </is>
      </c>
      <c r="G67" s="3" t="inlineStr">
        <is>
          <t>Oceania</t>
        </is>
      </c>
      <c r="H67" s="3" t="inlineStr">
        <is>
          <t>Australia</t>
        </is>
      </c>
      <c r="I67" s="3" t="inlineStr">
        <is>
          <t>Master</t>
        </is>
      </c>
      <c r="J67" s="3" t="inlineStr">
        <is>
          <t>Social Sciences &amp; Humanities</t>
        </is>
      </c>
      <c r="K67" s="3" t="inlineStr">
        <is>
          <t>Full</t>
        </is>
      </c>
      <c r="L67" s="3" t="inlineStr">
        <is>
          <t>Full Master's Sponsorship (Full tuition, living allowance, airfare, introductory academic program)</t>
        </is>
      </c>
      <c r="M67" s="3" t="inlineStr">
        <is>
          <t>April 30 (Annual cycle)</t>
        </is>
      </c>
      <c r="N67" s="3" t="inlineStr">
        <is>
          <t>Citizens of ASEAN member states (Indonesia, Vietnam, Thailand, etc.) and Timor-Leste; focus on Indo-Pacific priority areas.</t>
        </is>
      </c>
      <c r="O67" s="3" t="inlineStr">
        <is>
          <t>High: Online Portal Application + Professional Background Statement + Endorsement</t>
        </is>
      </c>
      <c r="P67" s="3" t="inlineStr">
        <is>
          <t>ASEAN Professionals Seeking Master's Leadership Training</t>
        </is>
      </c>
      <c r="Q67" s="3" t="inlineStr"/>
      <c r="R67" s="3" t="inlineStr"/>
      <c r="S67" s="3" t="inlineStr"/>
      <c r="T67" s="3" t="inlineStr"/>
      <c r="U67" s="3" t="inlineStr"/>
      <c r="V67" s="3" t="inlineStr"/>
      <c r="W67" s="3" t="inlineStr"/>
      <c r="X67" s="3" t="inlineStr"/>
      <c r="Y67" s="3" t="inlineStr"/>
      <c r="Z67" s="3" t="inlineStr"/>
      <c r="AA67" s="4" t="inlineStr"/>
      <c r="AB67" s="4" t="inlineStr"/>
      <c r="AC67" s="3">
        <f>IF(AND(E67&lt;&gt;"",COUNTIF($E$2:$E$800,E67)&gt;1),"DUPLICATE","")</f>
        <v/>
      </c>
    </row>
    <row r="68">
      <c r="A68" s="3" t="inlineStr">
        <is>
          <t>melbourne-graduate-research-scholarships-coursework-research</t>
        </is>
      </c>
      <c r="B68" s="3" t="inlineStr">
        <is>
          <t>Open</t>
        </is>
      </c>
      <c r="C68" s="3" t="inlineStr"/>
      <c r="D68" s="3" t="inlineStr">
        <is>
          <t>Scholarship</t>
        </is>
      </c>
      <c r="E68" s="3" t="inlineStr">
        <is>
          <t>Melbourne Graduate Research Scholarships (Coursework/Research)</t>
        </is>
      </c>
      <c r="F68" s="3" t="inlineStr">
        <is>
          <t>University of Melbourne</t>
        </is>
      </c>
      <c r="G68" s="3" t="inlineStr">
        <is>
          <t>Oceania</t>
        </is>
      </c>
      <c r="H68" s="3" t="inlineStr">
        <is>
          <t>Australia</t>
        </is>
      </c>
      <c r="I68" s="3" t="inlineStr">
        <is>
          <t>Master</t>
        </is>
      </c>
      <c r="J68" s="3" t="inlineStr">
        <is>
          <t>All fields</t>
        </is>
      </c>
      <c r="K68" s="3" t="inlineStr">
        <is>
          <t>Full</t>
        </is>
      </c>
      <c r="L68" s="3" t="inlineStr">
        <is>
          <t>Full Fee Offset + Living Allowance (Fee offset + ~AUD $39,500 annual living stipend + relocation grant)</t>
        </is>
      </c>
      <c r="M68" s="3" t="inlineStr">
        <is>
          <t>October / Rolling</t>
        </is>
      </c>
      <c r="N68" s="3" t="inlineStr">
        <is>
          <t>International and domestic students admitted to a graduate research degree (Master's by Research or PhD) with stellar academic marks.</t>
        </is>
      </c>
      <c r="O68" s="3" t="inlineStr">
        <is>
          <t>Medium-High: Graduate Course Application (automatic consideration for research scholars)</t>
        </is>
      </c>
      <c r="P68" s="3" t="inlineStr">
        <is>
          <t>Top-Tier Research Master's Applicants</t>
        </is>
      </c>
      <c r="Q68" s="3" t="inlineStr"/>
      <c r="R68" s="3" t="inlineStr"/>
      <c r="S68" s="3" t="inlineStr"/>
      <c r="T68" s="3" t="inlineStr"/>
      <c r="U68" s="3" t="inlineStr"/>
      <c r="V68" s="3" t="inlineStr"/>
      <c r="W68" s="3" t="inlineStr"/>
      <c r="X68" s="3" t="inlineStr"/>
      <c r="Y68" s="3" t="inlineStr"/>
      <c r="Z68" s="3" t="inlineStr">
        <is>
          <t>Research</t>
        </is>
      </c>
      <c r="AA68" s="4" t="inlineStr"/>
      <c r="AB68" s="4" t="inlineStr"/>
      <c r="AC68" s="3">
        <f>IF(AND(E68&lt;&gt;"",COUNTIF($E$2:$E$800,E68)&gt;1),"DUPLICATE","")</f>
        <v/>
      </c>
    </row>
    <row r="69">
      <c r="A69" s="3" t="inlineStr">
        <is>
          <t>unsw-scientia-coursework-scholarship-master</t>
        </is>
      </c>
      <c r="B69" s="3" t="inlineStr">
        <is>
          <t>Open</t>
        </is>
      </c>
      <c r="C69" s="3" t="inlineStr"/>
      <c r="D69" s="3" t="inlineStr">
        <is>
          <t>Scholarship</t>
        </is>
      </c>
      <c r="E69" s="3" t="inlineStr">
        <is>
          <t>UNSW Scientia Coursework Scholarship</t>
        </is>
      </c>
      <c r="F69" s="3" t="inlineStr">
        <is>
          <t>University of New South Wales</t>
        </is>
      </c>
      <c r="G69" s="3" t="inlineStr">
        <is>
          <t>Oceania</t>
        </is>
      </c>
      <c r="H69" s="3" t="inlineStr">
        <is>
          <t>Australia</t>
        </is>
      </c>
      <c r="I69" s="3" t="inlineStr">
        <is>
          <t>Master</t>
        </is>
      </c>
      <c r="J69" s="3" t="inlineStr">
        <is>
          <t>All fields</t>
        </is>
      </c>
      <c r="K69" s="3" t="inlineStr">
        <is>
          <t>Partial</t>
        </is>
      </c>
      <c r="L69" s="3" t="inlineStr">
        <is>
          <t>Full Tuition or AU$20,000 per year for the duration of the program</t>
        </is>
      </c>
      <c r="M69" s="3" t="inlineStr">
        <is>
          <t>July / November</t>
        </is>
      </c>
      <c r="N69" s="3" t="inlineStr">
        <is>
          <t>High-achieving international students undertaking undergraduate or postgraduate coursework programs at UNSW.</t>
        </is>
      </c>
      <c r="O69" s="3" t="inlineStr">
        <is>
          <t>Medium: Admission Application + Separate Scientia Scholarship Essay</t>
        </is>
      </c>
      <c r="P69" s="3" t="inlineStr">
        <is>
          <t>High-Achieving Coursework Applicants</t>
        </is>
      </c>
      <c r="Q69" s="3" t="inlineStr"/>
      <c r="R69" s="3" t="inlineStr"/>
      <c r="S69" s="3" t="inlineStr"/>
      <c r="T69" s="3" t="inlineStr"/>
      <c r="U69" s="3" t="inlineStr"/>
      <c r="V69" s="3" t="inlineStr"/>
      <c r="W69" s="3" t="inlineStr"/>
      <c r="X69" s="3" t="inlineStr"/>
      <c r="Y69" s="3" t="inlineStr"/>
      <c r="Z69" s="3" t="inlineStr"/>
      <c r="AA69" s="4" t="inlineStr"/>
      <c r="AB69" s="4" t="inlineStr"/>
      <c r="AC69" s="3">
        <f>IF(AND(E69&lt;&gt;"",COUNTIF($E$2:$E$800,E69)&gt;1),"DUPLICATE","")</f>
        <v/>
      </c>
    </row>
    <row r="70">
      <c r="A70" s="3" t="inlineStr">
        <is>
          <t>australian-government-research-training-program-rtp-phd</t>
        </is>
      </c>
      <c r="B70" s="3" t="inlineStr">
        <is>
          <t>Open</t>
        </is>
      </c>
      <c r="C70" s="3" t="inlineStr"/>
      <c r="D70" s="3" t="inlineStr">
        <is>
          <t>Scholarship</t>
        </is>
      </c>
      <c r="E70" s="3" t="inlineStr">
        <is>
          <t>Australian Government Research Training Program (RTP)</t>
        </is>
      </c>
      <c r="F70" s="3" t="inlineStr">
        <is>
          <t>Australian Universities / Department of Education</t>
        </is>
      </c>
      <c r="G70" s="3" t="inlineStr">
        <is>
          <t>Oceania</t>
        </is>
      </c>
      <c r="H70" s="3" t="inlineStr">
        <is>
          <t>Australia</t>
        </is>
      </c>
      <c r="I70" s="3" t="inlineStr">
        <is>
          <t>PhD</t>
        </is>
      </c>
      <c r="J70" s="3" t="inlineStr">
        <is>
          <t>All fields</t>
        </is>
      </c>
      <c r="K70" s="3" t="inlineStr">
        <is>
          <t>Full</t>
        </is>
      </c>
      <c r="L70" s="3" t="inlineStr">
        <is>
          <t>Full Research Package (Tuition fee offset + annual living stipend ~$37,000–$42,750 + health cover)</t>
        </is>
      </c>
      <c r="M70" s="3" t="inlineStr">
        <is>
          <t>Rolling / Staggered (Managed directly by individual universities e.g., ANU, Sydney, Melbourne, Monash, UQ)</t>
        </is>
      </c>
      <c r="N70" s="3" t="inlineStr">
        <is>
          <t>Outstanding international and domestic students enrolled in a Research Doctorate (PhD) or Research Master's degree.</t>
        </is>
      </c>
      <c r="O70" s="3" t="inlineStr">
        <is>
          <t>Very High: University Admission + Research Proposal + Potential Supervisor Support + CV</t>
        </is>
      </c>
      <c r="P70" s="3" t="inlineStr">
        <is>
          <t>Global PhD Researchers Seeking Full Australian State Funding</t>
        </is>
      </c>
      <c r="Q70" s="3" t="inlineStr">
        <is>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is>
      </c>
      <c r="R70" s="3" t="inlineStr">
        <is>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is>
      </c>
      <c r="S70" s="3" t="inlineStr">
        <is>
          <t>Academic merit and publication track record (50%), Quality and feasibility of the research proposal (30%), Supervisor alignment and university research capacity (20%).</t>
        </is>
      </c>
      <c r="T70" s="3" t="inlineStr">
        <is>
          <t>Exceptional research graduates with prior thesis experience, co-authored journal papers, or top university rankings who secure a faculty supervisor advocate before official application rounds.</t>
        </is>
      </c>
      <c r="U70" s="3" t="inlineStr"/>
      <c r="V70" s="3" t="inlineStr">
        <is>
          <t>https://www.education.gov.au/research-training-program</t>
        </is>
      </c>
      <c r="W70" s="3" t="inlineStr"/>
      <c r="X70" s="3" t="inlineStr"/>
      <c r="Y70" s="3" t="inlineStr"/>
      <c r="Z70" s="3" t="inlineStr">
        <is>
          <t>Research</t>
        </is>
      </c>
      <c r="AA70" s="4" t="inlineStr"/>
      <c r="AB70" s="4" t="inlineStr"/>
      <c r="AC70" s="3">
        <f>IF(AND(E70&lt;&gt;"",COUNTIF($E$2:$E$800,E70)&gt;1),"DUPLICATE","")</f>
        <v/>
      </c>
    </row>
    <row r="71">
      <c r="A71" s="3" t="inlineStr">
        <is>
          <t>sydney-university-postgraduate-award-usydis-phd</t>
        </is>
      </c>
      <c r="B71" s="3" t="inlineStr">
        <is>
          <t>Open</t>
        </is>
      </c>
      <c r="C71" s="3" t="inlineStr"/>
      <c r="D71" s="3" t="inlineStr">
        <is>
          <t>Scholarship</t>
        </is>
      </c>
      <c r="E71" s="3" t="inlineStr">
        <is>
          <t>Sydney University Postgraduate Award (USYDIS)</t>
        </is>
      </c>
      <c r="F71" s="3" t="inlineStr">
        <is>
          <t>University of Sydney</t>
        </is>
      </c>
      <c r="G71" s="3" t="inlineStr">
        <is>
          <t>Oceania</t>
        </is>
      </c>
      <c r="H71" s="3" t="inlineStr">
        <is>
          <t>Australia</t>
        </is>
      </c>
      <c r="I71" s="3" t="inlineStr">
        <is>
          <t>PhD</t>
        </is>
      </c>
      <c r="J71" s="3" t="inlineStr">
        <is>
          <t>All fields</t>
        </is>
      </c>
      <c r="K71" s="3" t="inlineStr">
        <is>
          <t>Full</t>
        </is>
      </c>
      <c r="L71" s="3" t="inlineStr">
        <is>
          <t>Full Tuition + ~AUD $42,754 annual stipend (For up to 3.5 years for PhD candidates)</t>
        </is>
      </c>
      <c r="M71" s="3" t="inlineStr">
        <is>
          <t>Staggered rounds</t>
        </is>
      </c>
      <c r="N71" s="3" t="inlineStr">
        <is>
          <t>International postgraduate research students with First Class Honours equivalent academic standing.</t>
        </is>
      </c>
      <c r="O71" s="3" t="inlineStr">
        <is>
          <t>High: Research Admission Portal + Scholarship Application Form + Supervisor Endorsement</t>
        </is>
      </c>
      <c r="P71" s="3" t="inlineStr">
        <is>
          <t>Elite PhD Candidates Targeting Sydney</t>
        </is>
      </c>
      <c r="Q71" s="3" t="inlineStr"/>
      <c r="R71" s="3" t="inlineStr"/>
      <c r="S71" s="3" t="inlineStr"/>
      <c r="T71" s="3" t="inlineStr"/>
      <c r="U71" s="3" t="inlineStr"/>
      <c r="V71" s="3" t="inlineStr"/>
      <c r="W71" s="3" t="inlineStr"/>
      <c r="X71" s="3" t="inlineStr"/>
      <c r="Y71" s="3" t="inlineStr"/>
      <c r="Z71" s="3" t="inlineStr">
        <is>
          <t>Research</t>
        </is>
      </c>
      <c r="AA71" s="4" t="inlineStr"/>
      <c r="AB71" s="4" t="inlineStr"/>
      <c r="AC71" s="3">
        <f>IF(AND(E71&lt;&gt;"",COUNTIF($E$2:$E$800,E71)&gt;1),"DUPLICATE","")</f>
        <v/>
      </c>
    </row>
    <row r="72">
      <c r="A72" s="3" t="inlineStr">
        <is>
          <t>monash-graduate-scholarship-mgs-mits-phd</t>
        </is>
      </c>
      <c r="B72" s="3" t="inlineStr">
        <is>
          <t>Open</t>
        </is>
      </c>
      <c r="C72" s="3" t="inlineStr"/>
      <c r="D72" s="3" t="inlineStr">
        <is>
          <t>Scholarship</t>
        </is>
      </c>
      <c r="E72" s="3" t="inlineStr">
        <is>
          <t>Monash Graduate Scholarship (MGS) + MITS</t>
        </is>
      </c>
      <c r="F72" s="3" t="inlineStr">
        <is>
          <t>Monash University</t>
        </is>
      </c>
      <c r="G72" s="3" t="inlineStr">
        <is>
          <t>Oceania</t>
        </is>
      </c>
      <c r="H72" s="3" t="inlineStr">
        <is>
          <t>Australia</t>
        </is>
      </c>
      <c r="I72" s="3" t="inlineStr">
        <is>
          <t>PhD</t>
        </is>
      </c>
      <c r="J72" s="3" t="inlineStr">
        <is>
          <t>All fields</t>
        </is>
      </c>
      <c r="K72" s="3" t="inlineStr">
        <is>
          <t>Full</t>
        </is>
      </c>
      <c r="L72" s="3" t="inlineStr">
        <is>
          <t>Full Tuition Offset + ~AUD $37,145 annual stipend</t>
        </is>
      </c>
      <c r="M72" s="3" t="inlineStr">
        <is>
          <t>Staggered rounds</t>
        </is>
      </c>
      <c r="N72" s="3" t="inlineStr">
        <is>
          <t>High-caliber international students undertaking a PhD or Master's by Research at Monash University.</t>
        </is>
      </c>
      <c r="O72" s="3" t="inlineStr">
        <is>
          <t>High: Graduate Research Admission &amp; Scholarship Application</t>
        </is>
      </c>
      <c r="P72" s="3" t="inlineStr">
        <is>
          <t>STEM and Humanities Doctoral Researchers at Monash</t>
        </is>
      </c>
      <c r="Q72" s="3" t="inlineStr"/>
      <c r="R72" s="3" t="inlineStr"/>
      <c r="S72" s="3" t="inlineStr"/>
      <c r="T72" s="3" t="inlineStr"/>
      <c r="U72" s="3" t="inlineStr"/>
      <c r="V72" s="3" t="inlineStr"/>
      <c r="W72" s="3" t="inlineStr"/>
      <c r="X72" s="3" t="inlineStr"/>
      <c r="Y72" s="3" t="inlineStr"/>
      <c r="Z72" s="3" t="inlineStr">
        <is>
          <t>Research</t>
        </is>
      </c>
      <c r="AA72" s="4" t="inlineStr"/>
      <c r="AB72" s="4" t="inlineStr"/>
      <c r="AC72" s="3">
        <f>IF(AND(E72&lt;&gt;"",COUNTIF($E$2:$E$800,E72)&gt;1),"DUPLICATE","")</f>
        <v/>
      </c>
    </row>
    <row r="73">
      <c r="A73" s="3" t="inlineStr">
        <is>
          <t>manaaki-new-zealand-scholarships-undergraduate-track-bachelo</t>
        </is>
      </c>
      <c r="B73" s="3" t="inlineStr">
        <is>
          <t>Open</t>
        </is>
      </c>
      <c r="C73" s="3" t="inlineStr"/>
      <c r="D73" s="3" t="inlineStr">
        <is>
          <t>Scholarship</t>
        </is>
      </c>
      <c r="E73" s="3" t="inlineStr">
        <is>
          <t>Manaaki New Zealand Scholarships (Undergraduate Track)</t>
        </is>
      </c>
      <c r="F73" s="3" t="inlineStr">
        <is>
          <t>New Zealand Ministry of Foreign Affairs and Trade — MFAT</t>
        </is>
      </c>
      <c r="G73" s="3" t="inlineStr">
        <is>
          <t>Oceania</t>
        </is>
      </c>
      <c r="H73" s="3" t="inlineStr">
        <is>
          <t>New Zealand</t>
        </is>
      </c>
      <c r="I73" s="3" t="inlineStr">
        <is>
          <t>Bachelor</t>
        </is>
      </c>
      <c r="J73" s="3" t="inlineStr">
        <is>
          <t>All fields</t>
        </is>
      </c>
      <c r="K73" s="3" t="inlineStr">
        <is>
          <t>Full</t>
        </is>
      </c>
      <c r="L73" s="3" t="inlineStr">
        <is>
          <t>Full Ride (Full tuition fees, living allowance ~NZ$23,100/yr, establishment grant, medical insurance, travel)</t>
        </is>
      </c>
      <c r="M73" s="3" t="inlineStr">
        <is>
          <t>February (Annual window)</t>
        </is>
      </c>
      <c r="N73" s="3" t="inlineStr">
        <is>
          <t>Citizens of eligible developing partner countries in the Pacific and South/Southeast Asia; high school graduates with leadership potential.</t>
        </is>
      </c>
      <c r="O73" s="3" t="inlineStr">
        <is>
          <t>High: Online Manaaki Portal Application + Country-Specific Eligibility Check + References</t>
        </is>
      </c>
      <c r="P73" s="3" t="inlineStr">
        <is>
          <t>Eligible Pacific &amp; Asian High School Graduates</t>
        </is>
      </c>
      <c r="Q73" s="3"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3" s="3"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3" s="3" t="inlineStr">
        <is>
          <t>Academic capability (30%), Professional and leadership skills (40%), Commitment to home country development (30%).</t>
        </is>
      </c>
      <c r="T73" s="3" t="inlineStr">
        <is>
          <t>Mid-career agricultural experts, environmental scientists, and public policy leaders from eligible Pacific, Asian, African, and Latin American nations who articulate a clear plan to return home and enact positive reform.</t>
        </is>
      </c>
      <c r="U73" s="3" t="inlineStr"/>
      <c r="V73" s="3" t="inlineStr">
        <is>
          <t>https://www.nzscholarships.govt.nz/</t>
        </is>
      </c>
      <c r="W73" s="3" t="inlineStr"/>
      <c r="X73" s="3" t="inlineStr"/>
      <c r="Y73" s="3" t="inlineStr"/>
      <c r="Z73" s="3" t="inlineStr"/>
      <c r="AA73" s="4" t="inlineStr"/>
      <c r="AB73" s="4" t="inlineStr"/>
      <c r="AC73" s="3">
        <f>IF(AND(E73&lt;&gt;"",COUNTIF($E$2:$E$800,E73)&gt;1),"DUPLICATE","")</f>
        <v/>
      </c>
    </row>
    <row r="74">
      <c r="A74" s="3" t="inlineStr">
        <is>
          <t>university-of-auckland-international-student-scholarships-ba</t>
        </is>
      </c>
      <c r="B74" s="3" t="inlineStr">
        <is>
          <t>Open</t>
        </is>
      </c>
      <c r="C74" s="3" t="inlineStr"/>
      <c r="D74" s="3" t="inlineStr">
        <is>
          <t>Scholarship</t>
        </is>
      </c>
      <c r="E74" s="3" t="inlineStr">
        <is>
          <t>University of Auckland International Student Scholarships</t>
        </is>
      </c>
      <c r="F74" s="3" t="inlineStr">
        <is>
          <t>University of Auckland</t>
        </is>
      </c>
      <c r="G74" s="3" t="inlineStr">
        <is>
          <t>Oceania</t>
        </is>
      </c>
      <c r="H74" s="3" t="inlineStr">
        <is>
          <t>New Zealand</t>
        </is>
      </c>
      <c r="I74" s="3" t="inlineStr">
        <is>
          <t>Bachelor</t>
        </is>
      </c>
      <c r="J74" s="3" t="inlineStr">
        <is>
          <t>All fields</t>
        </is>
      </c>
      <c r="K74" s="3" t="inlineStr">
        <is>
          <t>Partial</t>
        </is>
      </c>
      <c r="L74" s="3" t="inlineStr">
        <is>
          <t>Up to NZ$10,000 (Tuition fee reduction applied towards undergraduate coursework study)</t>
        </is>
      </c>
      <c r="M74" s="3" t="inlineStr">
        <is>
          <t>November / July (Staggered by semester intake)</t>
        </is>
      </c>
      <c r="N74" s="3" t="inlineStr">
        <is>
          <t>International students paying full international fees; high academic merit based on high school results.</t>
        </is>
      </c>
      <c r="O74" s="3" t="inlineStr">
        <is>
          <t>Medium: University Admission Offer + Separate Scholarship Application Form</t>
        </is>
      </c>
      <c r="P74" s="3" t="inlineStr">
        <is>
          <t>High-Achieving Undergraduates Targeting Auckland</t>
        </is>
      </c>
      <c r="Q74" s="3" t="inlineStr"/>
      <c r="R74" s="3" t="inlineStr"/>
      <c r="S74" s="3" t="inlineStr"/>
      <c r="T74" s="3" t="inlineStr"/>
      <c r="U74" s="3" t="inlineStr"/>
      <c r="V74" s="3" t="inlineStr"/>
      <c r="W74" s="3" t="inlineStr"/>
      <c r="X74" s="3" t="inlineStr"/>
      <c r="Y74" s="3" t="inlineStr"/>
      <c r="Z74" s="3" t="inlineStr"/>
      <c r="AA74" s="4" t="inlineStr"/>
      <c r="AB74" s="4" t="inlineStr"/>
      <c r="AC74" s="3">
        <f>IF(AND(E74&lt;&gt;"",COUNTIF($E$2:$E$800,E74)&gt;1),"DUPLICATE","")</f>
        <v/>
      </c>
    </row>
    <row r="75">
      <c r="A75" s="3" t="inlineStr">
        <is>
          <t>university-of-otago-international-bachelor-scholarships-bach</t>
        </is>
      </c>
      <c r="B75" s="3" t="inlineStr">
        <is>
          <t>Open</t>
        </is>
      </c>
      <c r="C75" s="3" t="inlineStr"/>
      <c r="D75" s="3" t="inlineStr">
        <is>
          <t>Scholarship</t>
        </is>
      </c>
      <c r="E75" s="3" t="inlineStr">
        <is>
          <t>University of Otago International Bachelor Scholarships</t>
        </is>
      </c>
      <c r="F75" s="3" t="inlineStr">
        <is>
          <t>University of Otago</t>
        </is>
      </c>
      <c r="G75" s="3" t="inlineStr">
        <is>
          <t>Oceania</t>
        </is>
      </c>
      <c r="H75" s="3" t="inlineStr">
        <is>
          <t>New Zealand</t>
        </is>
      </c>
      <c r="I75" s="3" t="inlineStr">
        <is>
          <t>Bachelor</t>
        </is>
      </c>
      <c r="J75" s="3" t="inlineStr">
        <is>
          <t>Education</t>
        </is>
      </c>
      <c r="K75" s="3" t="inlineStr">
        <is>
          <t>Partial</t>
        </is>
      </c>
      <c r="L75" s="3" t="inlineStr">
        <is>
          <t>NZ$10,000 tuition waiver (For the first year of undergraduate study)</t>
        </is>
      </c>
      <c r="M75" s="3" t="inlineStr">
        <is>
          <t>December / June</t>
        </is>
      </c>
      <c r="N75" s="3" t="inlineStr">
        <is>
          <t>International students commencing undergraduate studies; academic excellence in secondary education.</t>
        </is>
      </c>
      <c r="O75" s="3" t="inlineStr">
        <is>
          <t>Medium: Otago Admission Application + Online Scholarship Portal</t>
        </is>
      </c>
      <c r="P75" s="3" t="inlineStr">
        <is>
          <t>Undergraduates Seeking Study in Dunedin</t>
        </is>
      </c>
      <c r="Q75" s="3" t="inlineStr"/>
      <c r="R75" s="3" t="inlineStr"/>
      <c r="S75" s="3" t="inlineStr"/>
      <c r="T75" s="3" t="inlineStr"/>
      <c r="U75" s="3" t="inlineStr"/>
      <c r="V75" s="3" t="inlineStr"/>
      <c r="W75" s="3" t="inlineStr"/>
      <c r="X75" s="3" t="inlineStr"/>
      <c r="Y75" s="3" t="inlineStr"/>
      <c r="Z75" s="3" t="inlineStr"/>
      <c r="AA75" s="4" t="inlineStr"/>
      <c r="AB75" s="4" t="inlineStr"/>
      <c r="AC75" s="3">
        <f>IF(AND(E75&lt;&gt;"",COUNTIF($E$2:$E$800,E75)&gt;1),"DUPLICATE","")</f>
        <v/>
      </c>
    </row>
    <row r="76">
      <c r="A76" s="3" t="inlineStr">
        <is>
          <t>manaaki-new-zealand-scholarships-postgraduate-track-master</t>
        </is>
      </c>
      <c r="B76" s="3" t="inlineStr">
        <is>
          <t>Open</t>
        </is>
      </c>
      <c r="C76" s="3" t="inlineStr"/>
      <c r="D76" s="3" t="inlineStr">
        <is>
          <t>Scholarship</t>
        </is>
      </c>
      <c r="E76" s="3" t="inlineStr">
        <is>
          <t>Manaaki New Zealand Scholarships (Postgraduate Track)</t>
        </is>
      </c>
      <c r="F76" s="3" t="inlineStr">
        <is>
          <t>New Zealand MFAT</t>
        </is>
      </c>
      <c r="G76" s="3" t="inlineStr">
        <is>
          <t>Oceania</t>
        </is>
      </c>
      <c r="H76" s="3" t="inlineStr">
        <is>
          <t>New Zealand</t>
        </is>
      </c>
      <c r="I76" s="3" t="inlineStr">
        <is>
          <t>Master</t>
        </is>
      </c>
      <c r="J76" s="3" t="inlineStr">
        <is>
          <t>All fields</t>
        </is>
      </c>
      <c r="K76" s="3" t="inlineStr">
        <is>
          <t>Full</t>
        </is>
      </c>
      <c r="L76" s="3" t="inlineStr">
        <is>
          <t>Full Ride (Full tuition, living stipend ~NZ$31,200/yr, research allowances, medical insurance, return flights)</t>
        </is>
      </c>
      <c r="M76" s="3" t="inlineStr">
        <is>
          <t>February (Annual cycle)</t>
        </is>
      </c>
      <c r="N76" s="3" t="inlineStr">
        <is>
          <t>Citizens of eligible developing nations across the Pacific, Asia, Africa, and Latin America; 1–2 years of work experience preferred.</t>
        </is>
      </c>
      <c r="O76" s="3" t="inlineStr">
        <is>
          <t>High: Online Manaaki Portal Application + Professional CV + Employer Support + 2 Referees</t>
        </is>
      </c>
      <c r="P76" s="3" t="inlineStr">
        <is>
          <t>Mid-Career Professionals from Eligible Partner Countries</t>
        </is>
      </c>
      <c r="Q76" s="3"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6" s="3"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6" s="3" t="inlineStr">
        <is>
          <t>Academic capability (30%), Professional and leadership skills (40%), Commitment to home country development (30%).</t>
        </is>
      </c>
      <c r="T76" s="3" t="inlineStr">
        <is>
          <t>Mid-career agricultural experts, environmental scientists, and public policy leaders from eligible Pacific, Asian, African, and Latin American nations who articulate a clear plan to return home and enact positive reform.</t>
        </is>
      </c>
      <c r="U76" s="3" t="inlineStr"/>
      <c r="V76" s="3" t="inlineStr">
        <is>
          <t>https://www.nzscholarships.govt.nz/</t>
        </is>
      </c>
      <c r="W76" s="3" t="inlineStr"/>
      <c r="X76" s="3" t="inlineStr"/>
      <c r="Y76" s="3" t="inlineStr"/>
      <c r="Z76" s="3" t="inlineStr">
        <is>
          <t>Work experience</t>
        </is>
      </c>
      <c r="AA76" s="4" t="inlineStr"/>
      <c r="AB76" s="4" t="inlineStr"/>
      <c r="AC76" s="3">
        <f>IF(AND(E76&lt;&gt;"",COUNTIF($E$2:$E$800,E76)&gt;1),"DUPLICATE","")</f>
        <v/>
      </c>
    </row>
    <row r="77">
      <c r="A77" s="3" t="inlineStr">
        <is>
          <t>university-of-canterbury-international-master-s-scholarship-</t>
        </is>
      </c>
      <c r="B77" s="3" t="inlineStr">
        <is>
          <t>Open</t>
        </is>
      </c>
      <c r="C77" s="3" t="inlineStr"/>
      <c r="D77" s="3" t="inlineStr">
        <is>
          <t>Scholarship</t>
        </is>
      </c>
      <c r="E77" s="3" t="inlineStr">
        <is>
          <t>University of Canterbury International Master's Scholarship</t>
        </is>
      </c>
      <c r="F77" s="3" t="inlineStr">
        <is>
          <t>University of Canterbury</t>
        </is>
      </c>
      <c r="G77" s="3" t="inlineStr">
        <is>
          <t>Oceania</t>
        </is>
      </c>
      <c r="H77" s="3" t="inlineStr">
        <is>
          <t>New Zealand</t>
        </is>
      </c>
      <c r="I77" s="3" t="inlineStr">
        <is>
          <t>Master</t>
        </is>
      </c>
      <c r="J77" s="3" t="inlineStr">
        <is>
          <t>All fields</t>
        </is>
      </c>
      <c r="K77" s="3" t="inlineStr">
        <is>
          <t>Full</t>
        </is>
      </c>
      <c r="L77" s="3" t="inlineStr">
        <is>
          <t>Full Tuition Fees + NZ$15,000 Stipend (For research-based Master's programmes)</t>
        </is>
      </c>
      <c r="M77" s="3" t="inlineStr">
        <is>
          <t>October / March</t>
        </is>
      </c>
      <c r="N77" s="3" t="inlineStr">
        <is>
          <t>Top-tier international students enrolling in a research-only or thesis-based Master's degree at Canterbury.</t>
        </is>
      </c>
      <c r="O77" s="3" t="inlineStr">
        <is>
          <t>Medium-High: Master's Admission Application + Scholarship Nomination Form</t>
        </is>
      </c>
      <c r="P77" s="3" t="inlineStr">
        <is>
          <t>Thesis-Based Master's Applicants in Christchurch</t>
        </is>
      </c>
      <c r="Q77" s="3" t="inlineStr"/>
      <c r="R77" s="3" t="inlineStr"/>
      <c r="S77" s="3" t="inlineStr"/>
      <c r="T77" s="3" t="inlineStr"/>
      <c r="U77" s="3" t="inlineStr"/>
      <c r="V77" s="3" t="inlineStr"/>
      <c r="W77" s="3" t="inlineStr"/>
      <c r="X77" s="3" t="inlineStr"/>
      <c r="Y77" s="3" t="inlineStr"/>
      <c r="Z77" s="3" t="inlineStr">
        <is>
          <t>Research</t>
        </is>
      </c>
      <c r="AA77" s="4" t="inlineStr"/>
      <c r="AB77" s="4" t="inlineStr"/>
      <c r="AC77" s="3">
        <f>IF(AND(E77&lt;&gt;"",COUNTIF($E$2:$E$800,E77)&gt;1),"DUPLICATE","")</f>
        <v/>
      </c>
    </row>
    <row r="78">
      <c r="A78" s="3" t="inlineStr">
        <is>
          <t>victoria-university-of-wellington-master-s-scholarship-maste</t>
        </is>
      </c>
      <c r="B78" s="3" t="inlineStr">
        <is>
          <t>Open</t>
        </is>
      </c>
      <c r="C78" s="3" t="inlineStr"/>
      <c r="D78" s="3" t="inlineStr">
        <is>
          <t>Scholarship</t>
        </is>
      </c>
      <c r="E78" s="3" t="inlineStr">
        <is>
          <t>Victoria University of Wellington Master's Scholarship</t>
        </is>
      </c>
      <c r="F78" s="3" t="inlineStr">
        <is>
          <t>Victoria University of Wellington</t>
        </is>
      </c>
      <c r="G78" s="3" t="inlineStr">
        <is>
          <t>Oceania</t>
        </is>
      </c>
      <c r="H78" s="3" t="inlineStr">
        <is>
          <t>New Zealand</t>
        </is>
      </c>
      <c r="I78" s="3" t="inlineStr">
        <is>
          <t>Master</t>
        </is>
      </c>
      <c r="J78" s="3" t="inlineStr">
        <is>
          <t>All fields</t>
        </is>
      </c>
      <c r="K78" s="3" t="inlineStr">
        <is>
          <t>Partial</t>
        </is>
      </c>
      <c r="L78" s="3" t="inlineStr">
        <is>
          <t>NZ$15,000 tuition fee waiver + 12 weeks accommodation subsidy (Or equivalent living stipend support)</t>
        </is>
      </c>
      <c r="M78" s="3" t="inlineStr">
        <is>
          <t>November</t>
        </is>
      </c>
      <c r="N78" s="3" t="inlineStr">
        <is>
          <t>International students undertaking a 1-year research Master's degree or thesis component of a Master's program.</t>
        </is>
      </c>
      <c r="O78" s="3" t="inlineStr">
        <is>
          <t>Medium: Admission Application + Online Scholarship Portal</t>
        </is>
      </c>
      <c r="P78" s="3" t="inlineStr">
        <is>
          <t>Research Master's Candidates in Wellington</t>
        </is>
      </c>
      <c r="Q78" s="3" t="inlineStr"/>
      <c r="R78" s="3" t="inlineStr"/>
      <c r="S78" s="3" t="inlineStr"/>
      <c r="T78" s="3" t="inlineStr"/>
      <c r="U78" s="3" t="inlineStr"/>
      <c r="V78" s="3" t="inlineStr"/>
      <c r="W78" s="3" t="inlineStr"/>
      <c r="X78" s="3" t="inlineStr"/>
      <c r="Y78" s="3" t="inlineStr"/>
      <c r="Z78" s="3" t="inlineStr">
        <is>
          <t>Research</t>
        </is>
      </c>
      <c r="AA78" s="4" t="inlineStr"/>
      <c r="AB78" s="4" t="inlineStr"/>
      <c r="AC78" s="3">
        <f>IF(AND(E78&lt;&gt;"",COUNTIF($E$2:$E$800,E78)&gt;1),"DUPLICATE","")</f>
        <v/>
      </c>
    </row>
    <row r="79">
      <c r="A79" s="3" t="inlineStr">
        <is>
          <t>new-zealand-international-doctoral-research-scholarships-nzi</t>
        </is>
      </c>
      <c r="B79" s="3" t="inlineStr">
        <is>
          <t>Open</t>
        </is>
      </c>
      <c r="C79" s="3" t="inlineStr"/>
      <c r="D79" s="3" t="inlineStr">
        <is>
          <t>Scholarship</t>
        </is>
      </c>
      <c r="E79" s="3" t="inlineStr">
        <is>
          <t>New Zealand International Doctoral Research Scholarships (NZIDRS) / University Doctoral Scholarships</t>
        </is>
      </c>
      <c r="F79" s="3" t="inlineStr">
        <is>
          <t>New Zealand Government &amp; Universities — Auckland, Otago, Canterbury, etc.</t>
        </is>
      </c>
      <c r="G79" s="3" t="inlineStr">
        <is>
          <t>Oceania</t>
        </is>
      </c>
      <c r="H79" s="3" t="inlineStr">
        <is>
          <t>New Zealand</t>
        </is>
      </c>
      <c r="I79" s="3" t="inlineStr">
        <is>
          <t>PhD</t>
        </is>
      </c>
      <c r="J79" s="3" t="inlineStr">
        <is>
          <t>All fields</t>
        </is>
      </c>
      <c r="K79" s="3" t="inlineStr">
        <is>
          <t>Full</t>
        </is>
      </c>
      <c r="L79" s="3" t="inlineStr">
        <is>
          <t>Full Domestic Tuition Fee Parity + ~NZ$35,000 to NZ$38,000 annual living stipend (For 3 years of PhD study)</t>
        </is>
      </c>
      <c r="M79" s="3" t="inlineStr">
        <is>
          <t>Staggered (University-specific rounds, e.g., Oct, Nov, May)</t>
        </is>
      </c>
      <c r="N79" s="3" t="inlineStr">
        <is>
          <t>International doctoral candidates with outstanding academic records (equivalent to First Class Honours / high GPA).</t>
        </is>
      </c>
      <c r="O79" s="3" t="inlineStr">
        <is>
          <t>Very High: Doctoral Admission Application + Research Proposal + Supervisor Support</t>
        </is>
      </c>
      <c r="P79" s="3" t="inlineStr">
        <is>
          <t>Global Doctoral Researchers Seeking Full New Zealand State Funding</t>
        </is>
      </c>
      <c r="Q79" s="3" t="inlineStr">
        <is>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is>
      </c>
      <c r="R79" s="3" t="inlineStr">
        <is>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is>
      </c>
      <c r="S79" s="3" t="inlineStr">
        <is>
          <t>Academic merit and research track record (50%), Quality and feasibility of the research proposal (30%), Supervisor alignment and university laboratory capacity (20%).</t>
        </is>
      </c>
      <c r="T79" s="3" t="inlineStr"/>
      <c r="U79" s="3" t="inlineStr"/>
      <c r="V79" s="3" t="inlineStr">
        <is>
          <t>https://www.studyinnewzealand.govt.nz/</t>
        </is>
      </c>
      <c r="W79" s="3" t="inlineStr"/>
      <c r="X79" s="3" t="inlineStr"/>
      <c r="Y79" s="3" t="inlineStr"/>
      <c r="Z79" s="3" t="inlineStr">
        <is>
          <t>Research</t>
        </is>
      </c>
      <c r="AA79" s="4" t="inlineStr"/>
      <c r="AB79" s="4" t="inlineStr"/>
      <c r="AC79" s="3">
        <f>IF(AND(E79&lt;&gt;"",COUNTIF($E$2:$E$800,E79)&gt;1),"DUPLICATE","")</f>
        <v/>
      </c>
    </row>
    <row r="80">
      <c r="A80" s="3" t="inlineStr">
        <is>
          <t>otago-international-doctoral-scholarship-phd</t>
        </is>
      </c>
      <c r="B80" s="3" t="inlineStr">
        <is>
          <t>Open</t>
        </is>
      </c>
      <c r="C80" s="3" t="inlineStr"/>
      <c r="D80" s="3" t="inlineStr">
        <is>
          <t>Scholarship</t>
        </is>
      </c>
      <c r="E80" s="3" t="inlineStr">
        <is>
          <t>Otago International Doctoral Scholarship</t>
        </is>
      </c>
      <c r="F80" s="3" t="inlineStr">
        <is>
          <t>University of Otago</t>
        </is>
      </c>
      <c r="G80" s="3" t="inlineStr">
        <is>
          <t>Oceania</t>
        </is>
      </c>
      <c r="H80" s="3" t="inlineStr">
        <is>
          <t>New Zealand</t>
        </is>
      </c>
      <c r="I80" s="3" t="inlineStr">
        <is>
          <t>PhD</t>
        </is>
      </c>
      <c r="J80" s="3" t="inlineStr">
        <is>
          <t>All fields</t>
        </is>
      </c>
      <c r="K80" s="3" t="inlineStr">
        <is>
          <t>Full</t>
        </is>
      </c>
      <c r="L80" s="3" t="inlineStr">
        <is>
          <t>Full Tuition Fee Waiver + Annual Stipend (~NZ$32,500/yr plus health insurance for 36 months)</t>
        </is>
      </c>
      <c r="M80" s="3" t="inlineStr">
        <is>
          <t>Rolling / Multiple Rounds</t>
        </is>
      </c>
      <c r="N80" s="3" t="inlineStr">
        <is>
          <t>Outstanding international PhD candidates admitted to the University of Otago.</t>
        </is>
      </c>
      <c r="O80" s="3" t="inlineStr">
        <is>
          <t>High: PhD Admission Application + Research Proposal + Faculty Endorsement</t>
        </is>
      </c>
      <c r="P80" s="3" t="inlineStr">
        <is>
          <t>Elite PhD Candidates Targeting Otago</t>
        </is>
      </c>
      <c r="Q80" s="3" t="inlineStr"/>
      <c r="R80" s="3" t="inlineStr"/>
      <c r="S80" s="3" t="inlineStr"/>
      <c r="T80" s="3" t="inlineStr"/>
      <c r="U80" s="3" t="inlineStr"/>
      <c r="V80" s="3" t="inlineStr"/>
      <c r="W80" s="3" t="inlineStr"/>
      <c r="X80" s="3" t="inlineStr"/>
      <c r="Y80" s="3" t="inlineStr"/>
      <c r="Z80" s="3" t="inlineStr"/>
      <c r="AA80" s="4" t="inlineStr"/>
      <c r="AB80" s="4" t="inlineStr"/>
      <c r="AC80" s="3">
        <f>IF(AND(E80&lt;&gt;"",COUNTIF($E$2:$E$800,E80)&gt;1),"DUPLICATE","")</f>
        <v/>
      </c>
    </row>
    <row r="81">
      <c r="A81" s="3" t="inlineStr">
        <is>
          <t>university-of-auckland-doctoral-scholarships-phd</t>
        </is>
      </c>
      <c r="B81" s="3" t="inlineStr">
        <is>
          <t>Open</t>
        </is>
      </c>
      <c r="C81" s="3" t="inlineStr"/>
      <c r="D81" s="3" t="inlineStr">
        <is>
          <t>Scholarship</t>
        </is>
      </c>
      <c r="E81" s="3" t="inlineStr">
        <is>
          <t>University of Auckland Doctoral Scholarships</t>
        </is>
      </c>
      <c r="F81" s="3" t="inlineStr">
        <is>
          <t>University of Auckland</t>
        </is>
      </c>
      <c r="G81" s="3" t="inlineStr">
        <is>
          <t>Oceania</t>
        </is>
      </c>
      <c r="H81" s="3" t="inlineStr">
        <is>
          <t>New Zealand</t>
        </is>
      </c>
      <c r="I81" s="3" t="inlineStr">
        <is>
          <t>PhD</t>
        </is>
      </c>
      <c r="J81" s="3" t="inlineStr">
        <is>
          <t>All fields</t>
        </is>
      </c>
      <c r="K81" s="3" t="inlineStr">
        <is>
          <t>Full</t>
        </is>
      </c>
      <c r="L81" s="3" t="inlineStr">
        <is>
          <t>Full Compulsory Tuition Fees + Annual Living Allowance (Comprehensive tax-free stipend + health insurance)</t>
        </is>
      </c>
      <c r="M81" s="3" t="inlineStr">
        <is>
          <t>Staggered rounds</t>
        </is>
      </c>
      <c r="N81" s="3" t="inlineStr">
        <is>
          <t>High-caliber international students undertaking a PhD at the University of Auckland.</t>
        </is>
      </c>
      <c r="O81" s="3" t="inlineStr">
        <is>
          <t>High: Doctoral Admission &amp; Scholarship Portal Application</t>
        </is>
      </c>
      <c r="P81" s="3" t="inlineStr">
        <is>
          <t>Top-Tier PhD Candidates Targeting Auckland</t>
        </is>
      </c>
      <c r="Q81" s="3" t="inlineStr"/>
      <c r="R81" s="3" t="inlineStr"/>
      <c r="S81" s="3" t="inlineStr"/>
      <c r="T81" s="3" t="inlineStr"/>
      <c r="U81" s="3" t="inlineStr"/>
      <c r="V81" s="3" t="inlineStr"/>
      <c r="W81" s="3" t="inlineStr"/>
      <c r="X81" s="3" t="inlineStr"/>
      <c r="Y81" s="3" t="inlineStr"/>
      <c r="Z81" s="3" t="inlineStr"/>
      <c r="AA81" s="4" t="inlineStr"/>
      <c r="AB81" s="4" t="inlineStr"/>
      <c r="AC81" s="3">
        <f>IF(AND(E81&lt;&gt;"",COUNTIF($E$2:$E$800,E81)&gt;1),"DUPLICATE","")</f>
        <v/>
      </c>
    </row>
    <row r="82">
      <c r="AA82" s="5" t="n"/>
      <c r="AB82" s="5" t="n"/>
      <c r="AC82">
        <f>IF(AND(E82&lt;&gt;"",COUNTIF($E$2:$E$800,E82)&gt;1),"DUPLICATE","")</f>
        <v/>
      </c>
    </row>
    <row r="83">
      <c r="AA83" s="5" t="n"/>
      <c r="AB83" s="5" t="n"/>
      <c r="AC83">
        <f>IF(AND(E83&lt;&gt;"",COUNTIF($E$2:$E$800,E83)&gt;1),"DUPLICATE","")</f>
        <v/>
      </c>
    </row>
    <row r="84">
      <c r="AA84" s="5" t="n"/>
      <c r="AB84" s="5" t="n"/>
      <c r="AC84">
        <f>IF(AND(E84&lt;&gt;"",COUNTIF($E$2:$E$800,E84)&gt;1),"DUPLICATE","")</f>
        <v/>
      </c>
    </row>
    <row r="85">
      <c r="AA85" s="5" t="n"/>
      <c r="AB85" s="5" t="n"/>
      <c r="AC85">
        <f>IF(AND(E85&lt;&gt;"",COUNTIF($E$2:$E$800,E85)&gt;1),"DUPLICATE","")</f>
        <v/>
      </c>
    </row>
    <row r="86">
      <c r="AA86" s="5" t="n"/>
      <c r="AB86" s="5" t="n"/>
      <c r="AC86">
        <f>IF(AND(E86&lt;&gt;"",COUNTIF($E$2:$E$800,E86)&gt;1),"DUPLICATE","")</f>
        <v/>
      </c>
    </row>
    <row r="87">
      <c r="AA87" s="5" t="n"/>
      <c r="AB87" s="5" t="n"/>
      <c r="AC87">
        <f>IF(AND(E87&lt;&gt;"",COUNTIF($E$2:$E$800,E87)&gt;1),"DUPLICATE","")</f>
        <v/>
      </c>
    </row>
    <row r="88">
      <c r="AA88" s="5" t="n"/>
      <c r="AB88" s="5" t="n"/>
      <c r="AC88">
        <f>IF(AND(E88&lt;&gt;"",COUNTIF($E$2:$E$800,E88)&gt;1),"DUPLICATE","")</f>
        <v/>
      </c>
    </row>
    <row r="89">
      <c r="AA89" s="5" t="n"/>
      <c r="AB89" s="5" t="n"/>
      <c r="AC89">
        <f>IF(AND(E89&lt;&gt;"",COUNTIF($E$2:$E$800,E89)&gt;1),"DUPLICATE","")</f>
        <v/>
      </c>
    </row>
    <row r="90">
      <c r="AA90" s="5" t="n"/>
      <c r="AB90" s="5" t="n"/>
      <c r="AC90">
        <f>IF(AND(E90&lt;&gt;"",COUNTIF($E$2:$E$800,E90)&gt;1),"DUPLICATE","")</f>
        <v/>
      </c>
    </row>
    <row r="91">
      <c r="AA91" s="5" t="n"/>
      <c r="AB91" s="5" t="n"/>
      <c r="AC91">
        <f>IF(AND(E91&lt;&gt;"",COUNTIF($E$2:$E$800,E91)&gt;1),"DUPLICATE","")</f>
        <v/>
      </c>
    </row>
    <row r="92">
      <c r="AA92" s="5" t="n"/>
      <c r="AB92" s="5" t="n"/>
      <c r="AC92">
        <f>IF(AND(E92&lt;&gt;"",COUNTIF($E$2:$E$800,E92)&gt;1),"DUPLICATE","")</f>
        <v/>
      </c>
    </row>
    <row r="93">
      <c r="AA93" s="5" t="n"/>
      <c r="AB93" s="5" t="n"/>
      <c r="AC93">
        <f>IF(AND(E93&lt;&gt;"",COUNTIF($E$2:$E$800,E93)&gt;1),"DUPLICATE","")</f>
        <v/>
      </c>
    </row>
    <row r="94">
      <c r="AA94" s="5" t="n"/>
      <c r="AB94" s="5" t="n"/>
      <c r="AC94">
        <f>IF(AND(E94&lt;&gt;"",COUNTIF($E$2:$E$800,E94)&gt;1),"DUPLICATE","")</f>
        <v/>
      </c>
    </row>
    <row r="95">
      <c r="AA95" s="5" t="n"/>
      <c r="AB95" s="5" t="n"/>
      <c r="AC95">
        <f>IF(AND(E95&lt;&gt;"",COUNTIF($E$2:$E$800,E95)&gt;1),"DUPLICATE","")</f>
        <v/>
      </c>
    </row>
    <row r="96">
      <c r="AA96" s="5" t="n"/>
      <c r="AB96" s="5" t="n"/>
      <c r="AC96">
        <f>IF(AND(E96&lt;&gt;"",COUNTIF($E$2:$E$800,E96)&gt;1),"DUPLICATE","")</f>
        <v/>
      </c>
    </row>
    <row r="97">
      <c r="AA97" s="5" t="n"/>
      <c r="AB97" s="5" t="n"/>
      <c r="AC97">
        <f>IF(AND(E97&lt;&gt;"",COUNTIF($E$2:$E$800,E97)&gt;1),"DUPLICATE","")</f>
        <v/>
      </c>
    </row>
    <row r="98">
      <c r="AA98" s="5" t="n"/>
      <c r="AB98" s="5" t="n"/>
      <c r="AC98">
        <f>IF(AND(E98&lt;&gt;"",COUNTIF($E$2:$E$800,E98)&gt;1),"DUPLICATE","")</f>
        <v/>
      </c>
    </row>
    <row r="99">
      <c r="AA99" s="5" t="n"/>
      <c r="AB99" s="5" t="n"/>
      <c r="AC99">
        <f>IF(AND(E99&lt;&gt;"",COUNTIF($E$2:$E$800,E99)&gt;1),"DUPLICATE","")</f>
        <v/>
      </c>
    </row>
    <row r="100">
      <c r="AA100" s="5" t="n"/>
      <c r="AB100" s="5" t="n"/>
      <c r="AC100">
        <f>IF(AND(E100&lt;&gt;"",COUNTIF($E$2:$E$800,E100)&gt;1),"DUPLICATE","")</f>
        <v/>
      </c>
    </row>
    <row r="101">
      <c r="AA101" s="5" t="n"/>
      <c r="AB101" s="5" t="n"/>
      <c r="AC101">
        <f>IF(AND(E101&lt;&gt;"",COUNTIF($E$2:$E$800,E101)&gt;1),"DUPLICATE","")</f>
        <v/>
      </c>
    </row>
    <row r="102">
      <c r="AA102" s="5" t="n"/>
      <c r="AB102" s="5" t="n"/>
      <c r="AC102">
        <f>IF(AND(E102&lt;&gt;"",COUNTIF($E$2:$E$800,E102)&gt;1),"DUPLICATE","")</f>
        <v/>
      </c>
    </row>
    <row r="103">
      <c r="AA103" s="5" t="n"/>
      <c r="AB103" s="5" t="n"/>
      <c r="AC103">
        <f>IF(AND(E103&lt;&gt;"",COUNTIF($E$2:$E$800,E103)&gt;1),"DUPLICATE","")</f>
        <v/>
      </c>
    </row>
    <row r="104">
      <c r="AA104" s="5" t="n"/>
      <c r="AB104" s="5" t="n"/>
      <c r="AC104">
        <f>IF(AND(E104&lt;&gt;"",COUNTIF($E$2:$E$800,E104)&gt;1),"DUPLICATE","")</f>
        <v/>
      </c>
    </row>
    <row r="105">
      <c r="AA105" s="5" t="n"/>
      <c r="AB105" s="5" t="n"/>
      <c r="AC105">
        <f>IF(AND(E105&lt;&gt;"",COUNTIF($E$2:$E$800,E105)&gt;1),"DUPLICATE","")</f>
        <v/>
      </c>
    </row>
    <row r="106">
      <c r="AA106" s="5" t="n"/>
      <c r="AB106" s="5" t="n"/>
      <c r="AC106">
        <f>IF(AND(E106&lt;&gt;"",COUNTIF($E$2:$E$800,E106)&gt;1),"DUPLICATE","")</f>
        <v/>
      </c>
    </row>
    <row r="107">
      <c r="AA107" s="5" t="n"/>
      <c r="AB107" s="5" t="n"/>
      <c r="AC107">
        <f>IF(AND(E107&lt;&gt;"",COUNTIF($E$2:$E$800,E107)&gt;1),"DUPLICATE","")</f>
        <v/>
      </c>
    </row>
    <row r="108">
      <c r="AA108" s="5" t="n"/>
      <c r="AB108" s="5" t="n"/>
      <c r="AC108">
        <f>IF(AND(E108&lt;&gt;"",COUNTIF($E$2:$E$800,E108)&gt;1),"DUPLICATE","")</f>
        <v/>
      </c>
    </row>
    <row r="109">
      <c r="AA109" s="5" t="n"/>
      <c r="AB109" s="5" t="n"/>
      <c r="AC109">
        <f>IF(AND(E109&lt;&gt;"",COUNTIF($E$2:$E$800,E109)&gt;1),"DUPLICATE","")</f>
        <v/>
      </c>
    </row>
    <row r="110">
      <c r="AA110" s="5" t="n"/>
      <c r="AB110" s="5" t="n"/>
      <c r="AC110">
        <f>IF(AND(E110&lt;&gt;"",COUNTIF($E$2:$E$800,E110)&gt;1),"DUPLICATE","")</f>
        <v/>
      </c>
    </row>
    <row r="111">
      <c r="AA111" s="5" t="n"/>
      <c r="AB111" s="5" t="n"/>
      <c r="AC111">
        <f>IF(AND(E111&lt;&gt;"",COUNTIF($E$2:$E$800,E111)&gt;1),"DUPLICATE","")</f>
        <v/>
      </c>
    </row>
    <row r="112">
      <c r="AA112" s="5" t="n"/>
      <c r="AB112" s="5" t="n"/>
      <c r="AC112">
        <f>IF(AND(E112&lt;&gt;"",COUNTIF($E$2:$E$800,E112)&gt;1),"DUPLICATE","")</f>
        <v/>
      </c>
    </row>
    <row r="113">
      <c r="AA113" s="5" t="n"/>
      <c r="AB113" s="5" t="n"/>
      <c r="AC113">
        <f>IF(AND(E113&lt;&gt;"",COUNTIF($E$2:$E$800,E113)&gt;1),"DUPLICATE","")</f>
        <v/>
      </c>
    </row>
    <row r="114">
      <c r="AA114" s="5" t="n"/>
      <c r="AB114" s="5" t="n"/>
      <c r="AC114">
        <f>IF(AND(E114&lt;&gt;"",COUNTIF($E$2:$E$800,E114)&gt;1),"DUPLICATE","")</f>
        <v/>
      </c>
    </row>
    <row r="115">
      <c r="AA115" s="5" t="n"/>
      <c r="AB115" s="5" t="n"/>
      <c r="AC115">
        <f>IF(AND(E115&lt;&gt;"",COUNTIF($E$2:$E$800,E115)&gt;1),"DUPLICATE","")</f>
        <v/>
      </c>
    </row>
    <row r="116">
      <c r="AA116" s="5" t="n"/>
      <c r="AB116" s="5" t="n"/>
      <c r="AC116">
        <f>IF(AND(E116&lt;&gt;"",COUNTIF($E$2:$E$800,E116)&gt;1),"DUPLICATE","")</f>
        <v/>
      </c>
    </row>
    <row r="117">
      <c r="AA117" s="5" t="n"/>
      <c r="AB117" s="5" t="n"/>
      <c r="AC117">
        <f>IF(AND(E117&lt;&gt;"",COUNTIF($E$2:$E$800,E117)&gt;1),"DUPLICATE","")</f>
        <v/>
      </c>
    </row>
    <row r="118">
      <c r="AA118" s="5" t="n"/>
      <c r="AB118" s="5" t="n"/>
      <c r="AC118">
        <f>IF(AND(E118&lt;&gt;"",COUNTIF($E$2:$E$800,E118)&gt;1),"DUPLICATE","")</f>
        <v/>
      </c>
    </row>
    <row r="119">
      <c r="AA119" s="5" t="n"/>
      <c r="AB119" s="5" t="n"/>
      <c r="AC119">
        <f>IF(AND(E119&lt;&gt;"",COUNTIF($E$2:$E$800,E119)&gt;1),"DUPLICATE","")</f>
        <v/>
      </c>
    </row>
    <row r="120">
      <c r="AA120" s="5" t="n"/>
      <c r="AB120" s="5" t="n"/>
      <c r="AC120">
        <f>IF(AND(E120&lt;&gt;"",COUNTIF($E$2:$E$800,E120)&gt;1),"DUPLICATE","")</f>
        <v/>
      </c>
    </row>
    <row r="121">
      <c r="AA121" s="5" t="n"/>
      <c r="AB121" s="5" t="n"/>
      <c r="AC121">
        <f>IF(AND(E121&lt;&gt;"",COUNTIF($E$2:$E$800,E121)&gt;1),"DUPLICATE","")</f>
        <v/>
      </c>
    </row>
    <row r="122">
      <c r="AA122" s="5" t="n"/>
      <c r="AB122" s="5" t="n"/>
      <c r="AC122">
        <f>IF(AND(E122&lt;&gt;"",COUNTIF($E$2:$E$800,E122)&gt;1),"DUPLICATE","")</f>
        <v/>
      </c>
    </row>
    <row r="123">
      <c r="AA123" s="5" t="n"/>
      <c r="AB123" s="5" t="n"/>
      <c r="AC123">
        <f>IF(AND(E123&lt;&gt;"",COUNTIF($E$2:$E$800,E123)&gt;1),"DUPLICATE","")</f>
        <v/>
      </c>
    </row>
    <row r="124">
      <c r="AA124" s="5" t="n"/>
      <c r="AB124" s="5" t="n"/>
      <c r="AC124">
        <f>IF(AND(E124&lt;&gt;"",COUNTIF($E$2:$E$800,E124)&gt;1),"DUPLICATE","")</f>
        <v/>
      </c>
    </row>
    <row r="125">
      <c r="AA125" s="5" t="n"/>
      <c r="AB125" s="5" t="n"/>
      <c r="AC125">
        <f>IF(AND(E125&lt;&gt;"",COUNTIF($E$2:$E$800,E125)&gt;1),"DUPLICATE","")</f>
        <v/>
      </c>
    </row>
    <row r="126">
      <c r="AA126" s="5" t="n"/>
      <c r="AB126" s="5" t="n"/>
      <c r="AC126">
        <f>IF(AND(E126&lt;&gt;"",COUNTIF($E$2:$E$800,E126)&gt;1),"DUPLICATE","")</f>
        <v/>
      </c>
    </row>
    <row r="127">
      <c r="AA127" s="5" t="n"/>
      <c r="AB127" s="5" t="n"/>
      <c r="AC127">
        <f>IF(AND(E127&lt;&gt;"",COUNTIF($E$2:$E$800,E127)&gt;1),"DUPLICATE","")</f>
        <v/>
      </c>
    </row>
    <row r="128">
      <c r="AA128" s="5" t="n"/>
      <c r="AB128" s="5" t="n"/>
      <c r="AC128">
        <f>IF(AND(E128&lt;&gt;"",COUNTIF($E$2:$E$800,E128)&gt;1),"DUPLICATE","")</f>
        <v/>
      </c>
    </row>
    <row r="129">
      <c r="AA129" s="5" t="n"/>
      <c r="AB129" s="5" t="n"/>
      <c r="AC129">
        <f>IF(AND(E129&lt;&gt;"",COUNTIF($E$2:$E$800,E129)&gt;1),"DUPLICATE","")</f>
        <v/>
      </c>
    </row>
    <row r="130">
      <c r="AA130" s="5" t="n"/>
      <c r="AB130" s="5" t="n"/>
      <c r="AC130">
        <f>IF(AND(E130&lt;&gt;"",COUNTIF($E$2:$E$800,E130)&gt;1),"DUPLICATE","")</f>
        <v/>
      </c>
    </row>
    <row r="131">
      <c r="AA131" s="5" t="n"/>
      <c r="AB131" s="5" t="n"/>
      <c r="AC131">
        <f>IF(AND(E131&lt;&gt;"",COUNTIF($E$2:$E$800,E131)&gt;1),"DUPLICATE","")</f>
        <v/>
      </c>
    </row>
    <row r="132">
      <c r="AA132" s="5" t="n"/>
      <c r="AB132" s="5" t="n"/>
      <c r="AC132">
        <f>IF(AND(E132&lt;&gt;"",COUNTIF($E$2:$E$800,E132)&gt;1),"DUPLICATE","")</f>
        <v/>
      </c>
    </row>
    <row r="133">
      <c r="AA133" s="5" t="n"/>
      <c r="AB133" s="5" t="n"/>
      <c r="AC133">
        <f>IF(AND(E133&lt;&gt;"",COUNTIF($E$2:$E$800,E133)&gt;1),"DUPLICATE","")</f>
        <v/>
      </c>
    </row>
    <row r="134">
      <c r="AA134" s="5" t="n"/>
      <c r="AB134" s="5" t="n"/>
      <c r="AC134">
        <f>IF(AND(E134&lt;&gt;"",COUNTIF($E$2:$E$800,E134)&gt;1),"DUPLICATE","")</f>
        <v/>
      </c>
    </row>
    <row r="135">
      <c r="AA135" s="5" t="n"/>
      <c r="AB135" s="5" t="n"/>
      <c r="AC135">
        <f>IF(AND(E135&lt;&gt;"",COUNTIF($E$2:$E$800,E135)&gt;1),"DUPLICATE","")</f>
        <v/>
      </c>
    </row>
    <row r="136">
      <c r="AA136" s="5" t="n"/>
      <c r="AB136" s="5" t="n"/>
      <c r="AC136">
        <f>IF(AND(E136&lt;&gt;"",COUNTIF($E$2:$E$800,E136)&gt;1),"DUPLICATE","")</f>
        <v/>
      </c>
    </row>
    <row r="137">
      <c r="AA137" s="5" t="n"/>
      <c r="AB137" s="5" t="n"/>
      <c r="AC137">
        <f>IF(AND(E137&lt;&gt;"",COUNTIF($E$2:$E$800,E137)&gt;1),"DUPLICATE","")</f>
        <v/>
      </c>
    </row>
    <row r="138">
      <c r="AA138" s="5" t="n"/>
      <c r="AB138" s="5" t="n"/>
      <c r="AC138">
        <f>IF(AND(E138&lt;&gt;"",COUNTIF($E$2:$E$800,E138)&gt;1),"DUPLICATE","")</f>
        <v/>
      </c>
    </row>
    <row r="139">
      <c r="AA139" s="5" t="n"/>
      <c r="AB139" s="5" t="n"/>
      <c r="AC139">
        <f>IF(AND(E139&lt;&gt;"",COUNTIF($E$2:$E$800,E139)&gt;1),"DUPLICATE","")</f>
        <v/>
      </c>
    </row>
    <row r="140">
      <c r="AA140" s="5" t="n"/>
      <c r="AB140" s="5" t="n"/>
      <c r="AC140">
        <f>IF(AND(E140&lt;&gt;"",COUNTIF($E$2:$E$800,E140)&gt;1),"DUPLICATE","")</f>
        <v/>
      </c>
    </row>
    <row r="141">
      <c r="AA141" s="5" t="n"/>
      <c r="AB141" s="5" t="n"/>
      <c r="AC141">
        <f>IF(AND(E141&lt;&gt;"",COUNTIF($E$2:$E$800,E141)&gt;1),"DUPLICATE","")</f>
        <v/>
      </c>
    </row>
    <row r="142">
      <c r="AA142" s="5" t="n"/>
      <c r="AB142" s="5" t="n"/>
      <c r="AC142">
        <f>IF(AND(E142&lt;&gt;"",COUNTIF($E$2:$E$800,E142)&gt;1),"DUPLICATE","")</f>
        <v/>
      </c>
    </row>
    <row r="143">
      <c r="AA143" s="5" t="n"/>
      <c r="AB143" s="5" t="n"/>
      <c r="AC143">
        <f>IF(AND(E143&lt;&gt;"",COUNTIF($E$2:$E$800,E143)&gt;1),"DUPLICATE","")</f>
        <v/>
      </c>
    </row>
    <row r="144">
      <c r="AA144" s="5" t="n"/>
      <c r="AB144" s="5" t="n"/>
      <c r="AC144">
        <f>IF(AND(E144&lt;&gt;"",COUNTIF($E$2:$E$800,E144)&gt;1),"DUPLICATE","")</f>
        <v/>
      </c>
    </row>
    <row r="145">
      <c r="AA145" s="5" t="n"/>
      <c r="AB145" s="5" t="n"/>
      <c r="AC145">
        <f>IF(AND(E145&lt;&gt;"",COUNTIF($E$2:$E$800,E145)&gt;1),"DUPLICATE","")</f>
        <v/>
      </c>
    </row>
    <row r="146">
      <c r="AA146" s="5" t="n"/>
      <c r="AB146" s="5" t="n"/>
      <c r="AC146">
        <f>IF(AND(E146&lt;&gt;"",COUNTIF($E$2:$E$800,E146)&gt;1),"DUPLICATE","")</f>
        <v/>
      </c>
    </row>
    <row r="147">
      <c r="AA147" s="5" t="n"/>
      <c r="AB147" s="5" t="n"/>
      <c r="AC147">
        <f>IF(AND(E147&lt;&gt;"",COUNTIF($E$2:$E$800,E147)&gt;1),"DUPLICATE","")</f>
        <v/>
      </c>
    </row>
    <row r="148">
      <c r="AA148" s="5" t="n"/>
      <c r="AB148" s="5" t="n"/>
      <c r="AC148">
        <f>IF(AND(E148&lt;&gt;"",COUNTIF($E$2:$E$800,E148)&gt;1),"DUPLICATE","")</f>
        <v/>
      </c>
    </row>
    <row r="149">
      <c r="AA149" s="5" t="n"/>
      <c r="AB149" s="5" t="n"/>
      <c r="AC149">
        <f>IF(AND(E149&lt;&gt;"",COUNTIF($E$2:$E$800,E149)&gt;1),"DUPLICATE","")</f>
        <v/>
      </c>
    </row>
    <row r="150">
      <c r="AA150" s="5" t="n"/>
      <c r="AB150" s="5" t="n"/>
      <c r="AC150">
        <f>IF(AND(E150&lt;&gt;"",COUNTIF($E$2:$E$800,E150)&gt;1),"DUPLICATE","")</f>
        <v/>
      </c>
    </row>
    <row r="151">
      <c r="AA151" s="5" t="n"/>
      <c r="AB151" s="5" t="n"/>
      <c r="AC151">
        <f>IF(AND(E151&lt;&gt;"",COUNTIF($E$2:$E$800,E151)&gt;1),"DUPLICATE","")</f>
        <v/>
      </c>
    </row>
    <row r="152">
      <c r="AA152" s="5" t="n"/>
      <c r="AB152" s="5" t="n"/>
      <c r="AC152">
        <f>IF(AND(E152&lt;&gt;"",COUNTIF($E$2:$E$800,E152)&gt;1),"DUPLICATE","")</f>
        <v/>
      </c>
    </row>
    <row r="153">
      <c r="AA153" s="5" t="n"/>
      <c r="AB153" s="5" t="n"/>
      <c r="AC153">
        <f>IF(AND(E153&lt;&gt;"",COUNTIF($E$2:$E$800,E153)&gt;1),"DUPLICATE","")</f>
        <v/>
      </c>
    </row>
    <row r="154">
      <c r="AA154" s="5" t="n"/>
      <c r="AB154" s="5" t="n"/>
      <c r="AC154">
        <f>IF(AND(E154&lt;&gt;"",COUNTIF($E$2:$E$800,E154)&gt;1),"DUPLICATE","")</f>
        <v/>
      </c>
    </row>
    <row r="155">
      <c r="AA155" s="5" t="n"/>
      <c r="AB155" s="5" t="n"/>
      <c r="AC155">
        <f>IF(AND(E155&lt;&gt;"",COUNTIF($E$2:$E$800,E155)&gt;1),"DUPLICATE","")</f>
        <v/>
      </c>
    </row>
    <row r="156">
      <c r="AA156" s="5" t="n"/>
      <c r="AB156" s="5" t="n"/>
      <c r="AC156">
        <f>IF(AND(E156&lt;&gt;"",COUNTIF($E$2:$E$800,E156)&gt;1),"DUPLICATE","")</f>
        <v/>
      </c>
    </row>
    <row r="157">
      <c r="AA157" s="5" t="n"/>
      <c r="AB157" s="5" t="n"/>
      <c r="AC157">
        <f>IF(AND(E157&lt;&gt;"",COUNTIF($E$2:$E$800,E157)&gt;1),"DUPLICATE","")</f>
        <v/>
      </c>
    </row>
    <row r="158">
      <c r="AA158" s="5" t="n"/>
      <c r="AB158" s="5" t="n"/>
      <c r="AC158">
        <f>IF(AND(E158&lt;&gt;"",COUNTIF($E$2:$E$800,E158)&gt;1),"DUPLICATE","")</f>
        <v/>
      </c>
    </row>
    <row r="159">
      <c r="AA159" s="5" t="n"/>
      <c r="AB159" s="5" t="n"/>
      <c r="AC159">
        <f>IF(AND(E159&lt;&gt;"",COUNTIF($E$2:$E$800,E159)&gt;1),"DUPLICATE","")</f>
        <v/>
      </c>
    </row>
    <row r="160">
      <c r="AA160" s="5" t="n"/>
      <c r="AB160" s="5" t="n"/>
      <c r="AC160">
        <f>IF(AND(E160&lt;&gt;"",COUNTIF($E$2:$E$800,E160)&gt;1),"DUPLICATE","")</f>
        <v/>
      </c>
    </row>
    <row r="161">
      <c r="AA161" s="5" t="n"/>
      <c r="AB161" s="5" t="n"/>
      <c r="AC161">
        <f>IF(AND(E161&lt;&gt;"",COUNTIF($E$2:$E$800,E161)&gt;1),"DUPLICATE","")</f>
        <v/>
      </c>
    </row>
    <row r="162">
      <c r="AA162" s="5" t="n"/>
      <c r="AB162" s="5" t="n"/>
      <c r="AC162">
        <f>IF(AND(E162&lt;&gt;"",COUNTIF($E$2:$E$800,E162)&gt;1),"DUPLICATE","")</f>
        <v/>
      </c>
    </row>
    <row r="163">
      <c r="AA163" s="5" t="n"/>
      <c r="AB163" s="5" t="n"/>
      <c r="AC163">
        <f>IF(AND(E163&lt;&gt;"",COUNTIF($E$2:$E$800,E163)&gt;1),"DUPLICATE","")</f>
        <v/>
      </c>
    </row>
    <row r="164">
      <c r="AA164" s="5" t="n"/>
      <c r="AB164" s="5" t="n"/>
      <c r="AC164">
        <f>IF(AND(E164&lt;&gt;"",COUNTIF($E$2:$E$800,E164)&gt;1),"DUPLICATE","")</f>
        <v/>
      </c>
    </row>
    <row r="165">
      <c r="AA165" s="5" t="n"/>
      <c r="AB165" s="5" t="n"/>
      <c r="AC165">
        <f>IF(AND(E165&lt;&gt;"",COUNTIF($E$2:$E$800,E165)&gt;1),"DUPLICATE","")</f>
        <v/>
      </c>
    </row>
    <row r="166">
      <c r="AA166" s="5" t="n"/>
      <c r="AB166" s="5" t="n"/>
      <c r="AC166">
        <f>IF(AND(E166&lt;&gt;"",COUNTIF($E$2:$E$800,E166)&gt;1),"DUPLICATE","")</f>
        <v/>
      </c>
    </row>
    <row r="167">
      <c r="AA167" s="5" t="n"/>
      <c r="AB167" s="5" t="n"/>
      <c r="AC167">
        <f>IF(AND(E167&lt;&gt;"",COUNTIF($E$2:$E$800,E167)&gt;1),"DUPLICATE","")</f>
        <v/>
      </c>
    </row>
    <row r="168">
      <c r="AA168" s="5" t="n"/>
      <c r="AB168" s="5" t="n"/>
      <c r="AC168">
        <f>IF(AND(E168&lt;&gt;"",COUNTIF($E$2:$E$800,E168)&gt;1),"DUPLICATE","")</f>
        <v/>
      </c>
    </row>
    <row r="169">
      <c r="AA169" s="5" t="n"/>
      <c r="AB169" s="5" t="n"/>
      <c r="AC169">
        <f>IF(AND(E169&lt;&gt;"",COUNTIF($E$2:$E$800,E169)&gt;1),"DUPLICATE","")</f>
        <v/>
      </c>
    </row>
    <row r="170">
      <c r="AA170" s="5" t="n"/>
      <c r="AB170" s="5" t="n"/>
      <c r="AC170">
        <f>IF(AND(E170&lt;&gt;"",COUNTIF($E$2:$E$800,E170)&gt;1),"DUPLICATE","")</f>
        <v/>
      </c>
    </row>
    <row r="171">
      <c r="AA171" s="5" t="n"/>
      <c r="AB171" s="5" t="n"/>
      <c r="AC171">
        <f>IF(AND(E171&lt;&gt;"",COUNTIF($E$2:$E$800,E171)&gt;1),"DUPLICATE","")</f>
        <v/>
      </c>
    </row>
    <row r="172">
      <c r="AA172" s="5" t="n"/>
      <c r="AB172" s="5" t="n"/>
      <c r="AC172">
        <f>IF(AND(E172&lt;&gt;"",COUNTIF($E$2:$E$800,E172)&gt;1),"DUPLICATE","")</f>
        <v/>
      </c>
    </row>
    <row r="173">
      <c r="AA173" s="5" t="n"/>
      <c r="AB173" s="5" t="n"/>
      <c r="AC173">
        <f>IF(AND(E173&lt;&gt;"",COUNTIF($E$2:$E$800,E173)&gt;1),"DUPLICATE","")</f>
        <v/>
      </c>
    </row>
    <row r="174">
      <c r="AA174" s="5" t="n"/>
      <c r="AB174" s="5" t="n"/>
      <c r="AC174">
        <f>IF(AND(E174&lt;&gt;"",COUNTIF($E$2:$E$800,E174)&gt;1),"DUPLICATE","")</f>
        <v/>
      </c>
    </row>
    <row r="175">
      <c r="AA175" s="5" t="n"/>
      <c r="AB175" s="5" t="n"/>
      <c r="AC175">
        <f>IF(AND(E175&lt;&gt;"",COUNTIF($E$2:$E$800,E175)&gt;1),"DUPLICATE","")</f>
        <v/>
      </c>
    </row>
    <row r="176">
      <c r="AA176" s="5" t="n"/>
      <c r="AB176" s="5" t="n"/>
      <c r="AC176">
        <f>IF(AND(E176&lt;&gt;"",COUNTIF($E$2:$E$800,E176)&gt;1),"DUPLICATE","")</f>
        <v/>
      </c>
    </row>
    <row r="177">
      <c r="AA177" s="5" t="n"/>
      <c r="AB177" s="5" t="n"/>
      <c r="AC177">
        <f>IF(AND(E177&lt;&gt;"",COUNTIF($E$2:$E$800,E177)&gt;1),"DUPLICATE","")</f>
        <v/>
      </c>
    </row>
    <row r="178">
      <c r="AA178" s="5" t="n"/>
      <c r="AB178" s="5" t="n"/>
      <c r="AC178">
        <f>IF(AND(E178&lt;&gt;"",COUNTIF($E$2:$E$800,E178)&gt;1),"DUPLICATE","")</f>
        <v/>
      </c>
    </row>
    <row r="179">
      <c r="AA179" s="5" t="n"/>
      <c r="AB179" s="5" t="n"/>
      <c r="AC179">
        <f>IF(AND(E179&lt;&gt;"",COUNTIF($E$2:$E$800,E179)&gt;1),"DUPLICATE","")</f>
        <v/>
      </c>
    </row>
    <row r="180">
      <c r="AA180" s="5" t="n"/>
      <c r="AB180" s="5" t="n"/>
      <c r="AC180">
        <f>IF(AND(E180&lt;&gt;"",COUNTIF($E$2:$E$800,E180)&gt;1),"DUPLICATE","")</f>
        <v/>
      </c>
    </row>
    <row r="181">
      <c r="AA181" s="5" t="n"/>
      <c r="AB181" s="5" t="n"/>
      <c r="AC181">
        <f>IF(AND(E181&lt;&gt;"",COUNTIF($E$2:$E$800,E181)&gt;1),"DUPLICATE","")</f>
        <v/>
      </c>
    </row>
    <row r="182">
      <c r="AA182" s="5" t="n"/>
      <c r="AB182" s="5" t="n"/>
      <c r="AC182">
        <f>IF(AND(E182&lt;&gt;"",COUNTIF($E$2:$E$800,E182)&gt;1),"DUPLICATE","")</f>
        <v/>
      </c>
    </row>
    <row r="183">
      <c r="AA183" s="5" t="n"/>
      <c r="AB183" s="5" t="n"/>
      <c r="AC183">
        <f>IF(AND(E183&lt;&gt;"",COUNTIF($E$2:$E$800,E183)&gt;1),"DUPLICATE","")</f>
        <v/>
      </c>
    </row>
    <row r="184">
      <c r="AA184" s="5" t="n"/>
      <c r="AB184" s="5" t="n"/>
      <c r="AC184">
        <f>IF(AND(E184&lt;&gt;"",COUNTIF($E$2:$E$800,E184)&gt;1),"DUPLICATE","")</f>
        <v/>
      </c>
    </row>
    <row r="185">
      <c r="AA185" s="5" t="n"/>
      <c r="AB185" s="5" t="n"/>
      <c r="AC185">
        <f>IF(AND(E185&lt;&gt;"",COUNTIF($E$2:$E$800,E185)&gt;1),"DUPLICATE","")</f>
        <v/>
      </c>
    </row>
    <row r="186">
      <c r="AA186" s="5" t="n"/>
      <c r="AB186" s="5" t="n"/>
      <c r="AC186">
        <f>IF(AND(E186&lt;&gt;"",COUNTIF($E$2:$E$800,E186)&gt;1),"DUPLICATE","")</f>
        <v/>
      </c>
    </row>
    <row r="187">
      <c r="AA187" s="5" t="n"/>
      <c r="AB187" s="5" t="n"/>
      <c r="AC187">
        <f>IF(AND(E187&lt;&gt;"",COUNTIF($E$2:$E$800,E187)&gt;1),"DUPLICATE","")</f>
        <v/>
      </c>
    </row>
    <row r="188">
      <c r="AA188" s="5" t="n"/>
      <c r="AB188" s="5" t="n"/>
      <c r="AC188">
        <f>IF(AND(E188&lt;&gt;"",COUNTIF($E$2:$E$800,E188)&gt;1),"DUPLICATE","")</f>
        <v/>
      </c>
    </row>
    <row r="189">
      <c r="AA189" s="5" t="n"/>
      <c r="AB189" s="5" t="n"/>
      <c r="AC189">
        <f>IF(AND(E189&lt;&gt;"",COUNTIF($E$2:$E$800,E189)&gt;1),"DUPLICATE","")</f>
        <v/>
      </c>
    </row>
    <row r="190">
      <c r="AA190" s="5" t="n"/>
      <c r="AB190" s="5" t="n"/>
      <c r="AC190">
        <f>IF(AND(E190&lt;&gt;"",COUNTIF($E$2:$E$800,E190)&gt;1),"DUPLICATE","")</f>
        <v/>
      </c>
    </row>
    <row r="191">
      <c r="AA191" s="5" t="n"/>
      <c r="AB191" s="5" t="n"/>
      <c r="AC191">
        <f>IF(AND(E191&lt;&gt;"",COUNTIF($E$2:$E$800,E191)&gt;1),"DUPLICATE","")</f>
        <v/>
      </c>
    </row>
    <row r="192">
      <c r="AA192" s="5" t="n"/>
      <c r="AB192" s="5" t="n"/>
      <c r="AC192">
        <f>IF(AND(E192&lt;&gt;"",COUNTIF($E$2:$E$800,E192)&gt;1),"DUPLICATE","")</f>
        <v/>
      </c>
    </row>
    <row r="193">
      <c r="AA193" s="5" t="n"/>
      <c r="AB193" s="5" t="n"/>
      <c r="AC193">
        <f>IF(AND(E193&lt;&gt;"",COUNTIF($E$2:$E$800,E193)&gt;1),"DUPLICATE","")</f>
        <v/>
      </c>
    </row>
    <row r="194">
      <c r="AA194" s="5" t="n"/>
      <c r="AB194" s="5" t="n"/>
      <c r="AC194">
        <f>IF(AND(E194&lt;&gt;"",COUNTIF($E$2:$E$800,E194)&gt;1),"DUPLICATE","")</f>
        <v/>
      </c>
    </row>
    <row r="195">
      <c r="AA195" s="5" t="n"/>
      <c r="AB195" s="5" t="n"/>
      <c r="AC195">
        <f>IF(AND(E195&lt;&gt;"",COUNTIF($E$2:$E$800,E195)&gt;1),"DUPLICATE","")</f>
        <v/>
      </c>
    </row>
    <row r="196">
      <c r="AA196" s="5" t="n"/>
      <c r="AB196" s="5" t="n"/>
      <c r="AC196">
        <f>IF(AND(E196&lt;&gt;"",COUNTIF($E$2:$E$800,E196)&gt;1),"DUPLICATE","")</f>
        <v/>
      </c>
    </row>
    <row r="197">
      <c r="AA197" s="5" t="n"/>
      <c r="AB197" s="5" t="n"/>
      <c r="AC197">
        <f>IF(AND(E197&lt;&gt;"",COUNTIF($E$2:$E$800,E197)&gt;1),"DUPLICATE","")</f>
        <v/>
      </c>
    </row>
    <row r="198">
      <c r="AA198" s="5" t="n"/>
      <c r="AB198" s="5" t="n"/>
      <c r="AC198">
        <f>IF(AND(E198&lt;&gt;"",COUNTIF($E$2:$E$800,E198)&gt;1),"DUPLICATE","")</f>
        <v/>
      </c>
    </row>
    <row r="199">
      <c r="AA199" s="5" t="n"/>
      <c r="AB199" s="5" t="n"/>
      <c r="AC199">
        <f>IF(AND(E199&lt;&gt;"",COUNTIF($E$2:$E$800,E199)&gt;1),"DUPLICATE","")</f>
        <v/>
      </c>
    </row>
    <row r="200">
      <c r="AA200" s="5" t="n"/>
      <c r="AB200" s="5" t="n"/>
      <c r="AC200">
        <f>IF(AND(E200&lt;&gt;"",COUNTIF($E$2:$E$800,E200)&gt;1),"DUPLICATE","")</f>
        <v/>
      </c>
    </row>
    <row r="201">
      <c r="AA201" s="5" t="n"/>
      <c r="AB201" s="5" t="n"/>
      <c r="AC201">
        <f>IF(AND(E201&lt;&gt;"",COUNTIF($E$2:$E$800,E201)&gt;1),"DUPLICATE","")</f>
        <v/>
      </c>
    </row>
    <row r="202">
      <c r="AA202" s="5" t="n"/>
      <c r="AB202" s="5" t="n"/>
      <c r="AC202">
        <f>IF(AND(E202&lt;&gt;"",COUNTIF($E$2:$E$800,E202)&gt;1),"DUPLICATE","")</f>
        <v/>
      </c>
    </row>
    <row r="203">
      <c r="AA203" s="5" t="n"/>
      <c r="AB203" s="5" t="n"/>
      <c r="AC203">
        <f>IF(AND(E203&lt;&gt;"",COUNTIF($E$2:$E$800,E203)&gt;1),"DUPLICATE","")</f>
        <v/>
      </c>
    </row>
    <row r="204">
      <c r="AA204" s="5" t="n"/>
      <c r="AB204" s="5" t="n"/>
      <c r="AC204">
        <f>IF(AND(E204&lt;&gt;"",COUNTIF($E$2:$E$800,E204)&gt;1),"DUPLICATE","")</f>
        <v/>
      </c>
    </row>
    <row r="205">
      <c r="AA205" s="5" t="n"/>
      <c r="AB205" s="5" t="n"/>
      <c r="AC205">
        <f>IF(AND(E205&lt;&gt;"",COUNTIF($E$2:$E$800,E205)&gt;1),"DUPLICATE","")</f>
        <v/>
      </c>
    </row>
    <row r="206">
      <c r="AA206" s="5" t="n"/>
      <c r="AB206" s="5" t="n"/>
      <c r="AC206">
        <f>IF(AND(E206&lt;&gt;"",COUNTIF($E$2:$E$800,E206)&gt;1),"DUPLICATE","")</f>
        <v/>
      </c>
    </row>
    <row r="207">
      <c r="AA207" s="5" t="n"/>
      <c r="AB207" s="5" t="n"/>
      <c r="AC207">
        <f>IF(AND(E207&lt;&gt;"",COUNTIF($E$2:$E$800,E207)&gt;1),"DUPLICATE","")</f>
        <v/>
      </c>
    </row>
    <row r="208">
      <c r="AA208" s="5" t="n"/>
      <c r="AB208" s="5" t="n"/>
      <c r="AC208">
        <f>IF(AND(E208&lt;&gt;"",COUNTIF($E$2:$E$800,E208)&gt;1),"DUPLICATE","")</f>
        <v/>
      </c>
    </row>
    <row r="209">
      <c r="AA209" s="5" t="n"/>
      <c r="AB209" s="5" t="n"/>
      <c r="AC209">
        <f>IF(AND(E209&lt;&gt;"",COUNTIF($E$2:$E$800,E209)&gt;1),"DUPLICATE","")</f>
        <v/>
      </c>
    </row>
    <row r="210">
      <c r="AA210" s="5" t="n"/>
      <c r="AB210" s="5" t="n"/>
      <c r="AC210">
        <f>IF(AND(E210&lt;&gt;"",COUNTIF($E$2:$E$800,E210)&gt;1),"DUPLICATE","")</f>
        <v/>
      </c>
    </row>
    <row r="211">
      <c r="AA211" s="5" t="n"/>
      <c r="AB211" s="5" t="n"/>
      <c r="AC211">
        <f>IF(AND(E211&lt;&gt;"",COUNTIF($E$2:$E$800,E211)&gt;1),"DUPLICATE","")</f>
        <v/>
      </c>
    </row>
    <row r="212">
      <c r="AA212" s="5" t="n"/>
      <c r="AB212" s="5" t="n"/>
      <c r="AC212">
        <f>IF(AND(E212&lt;&gt;"",COUNTIF($E$2:$E$800,E212)&gt;1),"DUPLICATE","")</f>
        <v/>
      </c>
    </row>
    <row r="213">
      <c r="AA213" s="5" t="n"/>
      <c r="AB213" s="5" t="n"/>
      <c r="AC213">
        <f>IF(AND(E213&lt;&gt;"",COUNTIF($E$2:$E$800,E213)&gt;1),"DUPLICATE","")</f>
        <v/>
      </c>
    </row>
    <row r="214">
      <c r="AA214" s="5" t="n"/>
      <c r="AB214" s="5" t="n"/>
      <c r="AC214">
        <f>IF(AND(E214&lt;&gt;"",COUNTIF($E$2:$E$800,E214)&gt;1),"DUPLICATE","")</f>
        <v/>
      </c>
    </row>
    <row r="215">
      <c r="AA215" s="5" t="n"/>
      <c r="AB215" s="5" t="n"/>
      <c r="AC215">
        <f>IF(AND(E215&lt;&gt;"",COUNTIF($E$2:$E$800,E215)&gt;1),"DUPLICATE","")</f>
        <v/>
      </c>
    </row>
    <row r="216">
      <c r="AA216" s="5" t="n"/>
      <c r="AB216" s="5" t="n"/>
      <c r="AC216">
        <f>IF(AND(E216&lt;&gt;"",COUNTIF($E$2:$E$800,E216)&gt;1),"DUPLICATE","")</f>
        <v/>
      </c>
    </row>
    <row r="217">
      <c r="AA217" s="5" t="n"/>
      <c r="AB217" s="5" t="n"/>
      <c r="AC217">
        <f>IF(AND(E217&lt;&gt;"",COUNTIF($E$2:$E$800,E217)&gt;1),"DUPLICATE","")</f>
        <v/>
      </c>
    </row>
    <row r="218">
      <c r="AA218" s="5" t="n"/>
      <c r="AB218" s="5" t="n"/>
      <c r="AC218">
        <f>IF(AND(E218&lt;&gt;"",COUNTIF($E$2:$E$800,E218)&gt;1),"DUPLICATE","")</f>
        <v/>
      </c>
    </row>
    <row r="219">
      <c r="AA219" s="5" t="n"/>
      <c r="AB219" s="5" t="n"/>
      <c r="AC219">
        <f>IF(AND(E219&lt;&gt;"",COUNTIF($E$2:$E$800,E219)&gt;1),"DUPLICATE","")</f>
        <v/>
      </c>
    </row>
    <row r="220">
      <c r="AA220" s="5" t="n"/>
      <c r="AB220" s="5" t="n"/>
      <c r="AC220">
        <f>IF(AND(E220&lt;&gt;"",COUNTIF($E$2:$E$800,E220)&gt;1),"DUPLICATE","")</f>
        <v/>
      </c>
    </row>
    <row r="221">
      <c r="AA221" s="5" t="n"/>
      <c r="AB221" s="5" t="n"/>
      <c r="AC221">
        <f>IF(AND(E221&lt;&gt;"",COUNTIF($E$2:$E$800,E221)&gt;1),"DUPLICATE","")</f>
        <v/>
      </c>
    </row>
    <row r="222">
      <c r="AA222" s="5" t="n"/>
      <c r="AB222" s="5" t="n"/>
      <c r="AC222">
        <f>IF(AND(E222&lt;&gt;"",COUNTIF($E$2:$E$800,E222)&gt;1),"DUPLICATE","")</f>
        <v/>
      </c>
    </row>
    <row r="223">
      <c r="AA223" s="5" t="n"/>
      <c r="AB223" s="5" t="n"/>
      <c r="AC223">
        <f>IF(AND(E223&lt;&gt;"",COUNTIF($E$2:$E$800,E223)&gt;1),"DUPLICATE","")</f>
        <v/>
      </c>
    </row>
    <row r="224">
      <c r="AA224" s="5" t="n"/>
      <c r="AB224" s="5" t="n"/>
      <c r="AC224">
        <f>IF(AND(E224&lt;&gt;"",COUNTIF($E$2:$E$800,E224)&gt;1),"DUPLICATE","")</f>
        <v/>
      </c>
    </row>
    <row r="225">
      <c r="AA225" s="5" t="n"/>
      <c r="AB225" s="5" t="n"/>
      <c r="AC225">
        <f>IF(AND(E225&lt;&gt;"",COUNTIF($E$2:$E$800,E225)&gt;1),"DUPLICATE","")</f>
        <v/>
      </c>
    </row>
    <row r="226">
      <c r="AA226" s="5" t="n"/>
      <c r="AB226" s="5" t="n"/>
      <c r="AC226">
        <f>IF(AND(E226&lt;&gt;"",COUNTIF($E$2:$E$800,E226)&gt;1),"DUPLICATE","")</f>
        <v/>
      </c>
    </row>
    <row r="227">
      <c r="AA227" s="5" t="n"/>
      <c r="AB227" s="5" t="n"/>
      <c r="AC227">
        <f>IF(AND(E227&lt;&gt;"",COUNTIF($E$2:$E$800,E227)&gt;1),"DUPLICATE","")</f>
        <v/>
      </c>
    </row>
    <row r="228">
      <c r="AA228" s="5" t="n"/>
      <c r="AB228" s="5" t="n"/>
      <c r="AC228">
        <f>IF(AND(E228&lt;&gt;"",COUNTIF($E$2:$E$800,E228)&gt;1),"DUPLICATE","")</f>
        <v/>
      </c>
    </row>
    <row r="229">
      <c r="AA229" s="5" t="n"/>
      <c r="AB229" s="5" t="n"/>
      <c r="AC229">
        <f>IF(AND(E229&lt;&gt;"",COUNTIF($E$2:$E$800,E229)&gt;1),"DUPLICATE","")</f>
        <v/>
      </c>
    </row>
    <row r="230">
      <c r="AA230" s="5" t="n"/>
      <c r="AB230" s="5" t="n"/>
      <c r="AC230">
        <f>IF(AND(E230&lt;&gt;"",COUNTIF($E$2:$E$800,E230)&gt;1),"DUPLICATE","")</f>
        <v/>
      </c>
    </row>
    <row r="231">
      <c r="AA231" s="5" t="n"/>
      <c r="AB231" s="5" t="n"/>
      <c r="AC231">
        <f>IF(AND(E231&lt;&gt;"",COUNTIF($E$2:$E$800,E231)&gt;1),"DUPLICATE","")</f>
        <v/>
      </c>
    </row>
    <row r="232">
      <c r="AA232" s="5" t="n"/>
      <c r="AB232" s="5" t="n"/>
      <c r="AC232">
        <f>IF(AND(E232&lt;&gt;"",COUNTIF($E$2:$E$800,E232)&gt;1),"DUPLICATE","")</f>
        <v/>
      </c>
    </row>
    <row r="233">
      <c r="AA233" s="5" t="n"/>
      <c r="AB233" s="5" t="n"/>
      <c r="AC233">
        <f>IF(AND(E233&lt;&gt;"",COUNTIF($E$2:$E$800,E233)&gt;1),"DUPLICATE","")</f>
        <v/>
      </c>
    </row>
    <row r="234">
      <c r="AA234" s="5" t="n"/>
      <c r="AB234" s="5" t="n"/>
      <c r="AC234">
        <f>IF(AND(E234&lt;&gt;"",COUNTIF($E$2:$E$800,E234)&gt;1),"DUPLICATE","")</f>
        <v/>
      </c>
    </row>
    <row r="235">
      <c r="AA235" s="5" t="n"/>
      <c r="AB235" s="5" t="n"/>
      <c r="AC235">
        <f>IF(AND(E235&lt;&gt;"",COUNTIF($E$2:$E$800,E235)&gt;1),"DUPLICATE","")</f>
        <v/>
      </c>
    </row>
    <row r="236">
      <c r="AA236" s="5" t="n"/>
      <c r="AB236" s="5" t="n"/>
      <c r="AC236">
        <f>IF(AND(E236&lt;&gt;"",COUNTIF($E$2:$E$800,E236)&gt;1),"DUPLICATE","")</f>
        <v/>
      </c>
    </row>
    <row r="237">
      <c r="AA237" s="5" t="n"/>
      <c r="AB237" s="5" t="n"/>
      <c r="AC237">
        <f>IF(AND(E237&lt;&gt;"",COUNTIF($E$2:$E$800,E237)&gt;1),"DUPLICATE","")</f>
        <v/>
      </c>
    </row>
    <row r="238">
      <c r="AA238" s="5" t="n"/>
      <c r="AB238" s="5" t="n"/>
      <c r="AC238">
        <f>IF(AND(E238&lt;&gt;"",COUNTIF($E$2:$E$800,E238)&gt;1),"DUPLICATE","")</f>
        <v/>
      </c>
    </row>
    <row r="239">
      <c r="AA239" s="5" t="n"/>
      <c r="AB239" s="5" t="n"/>
      <c r="AC239">
        <f>IF(AND(E239&lt;&gt;"",COUNTIF($E$2:$E$800,E239)&gt;1),"DUPLICATE","")</f>
        <v/>
      </c>
    </row>
    <row r="240">
      <c r="AA240" s="5" t="n"/>
      <c r="AB240" s="5" t="n"/>
      <c r="AC240">
        <f>IF(AND(E240&lt;&gt;"",COUNTIF($E$2:$E$800,E240)&gt;1),"DUPLICATE","")</f>
        <v/>
      </c>
    </row>
    <row r="241">
      <c r="AA241" s="5" t="n"/>
      <c r="AB241" s="5" t="n"/>
      <c r="AC241">
        <f>IF(AND(E241&lt;&gt;"",COUNTIF($E$2:$E$800,E241)&gt;1),"DUPLICATE","")</f>
        <v/>
      </c>
    </row>
    <row r="242">
      <c r="AA242" s="5" t="n"/>
      <c r="AB242" s="5" t="n"/>
      <c r="AC242">
        <f>IF(AND(E242&lt;&gt;"",COUNTIF($E$2:$E$800,E242)&gt;1),"DUPLICATE","")</f>
        <v/>
      </c>
    </row>
    <row r="243">
      <c r="AA243" s="5" t="n"/>
      <c r="AB243" s="5" t="n"/>
      <c r="AC243">
        <f>IF(AND(E243&lt;&gt;"",COUNTIF($E$2:$E$800,E243)&gt;1),"DUPLICATE","")</f>
        <v/>
      </c>
    </row>
    <row r="244">
      <c r="AA244" s="5" t="n"/>
      <c r="AB244" s="5" t="n"/>
      <c r="AC244">
        <f>IF(AND(E244&lt;&gt;"",COUNTIF($E$2:$E$800,E244)&gt;1),"DUPLICATE","")</f>
        <v/>
      </c>
    </row>
    <row r="245">
      <c r="AA245" s="5" t="n"/>
      <c r="AB245" s="5" t="n"/>
      <c r="AC245">
        <f>IF(AND(E245&lt;&gt;"",COUNTIF($E$2:$E$800,E245)&gt;1),"DUPLICATE","")</f>
        <v/>
      </c>
    </row>
    <row r="246">
      <c r="AA246" s="5" t="n"/>
      <c r="AB246" s="5" t="n"/>
      <c r="AC246">
        <f>IF(AND(E246&lt;&gt;"",COUNTIF($E$2:$E$800,E246)&gt;1),"DUPLICATE","")</f>
        <v/>
      </c>
    </row>
    <row r="247">
      <c r="AA247" s="5" t="n"/>
      <c r="AB247" s="5" t="n"/>
      <c r="AC247">
        <f>IF(AND(E247&lt;&gt;"",COUNTIF($E$2:$E$800,E247)&gt;1),"DUPLICATE","")</f>
        <v/>
      </c>
    </row>
    <row r="248">
      <c r="AA248" s="5" t="n"/>
      <c r="AB248" s="5" t="n"/>
      <c r="AC248">
        <f>IF(AND(E248&lt;&gt;"",COUNTIF($E$2:$E$800,E248)&gt;1),"DUPLICATE","")</f>
        <v/>
      </c>
    </row>
    <row r="249">
      <c r="AA249" s="5" t="n"/>
      <c r="AB249" s="5" t="n"/>
      <c r="AC249">
        <f>IF(AND(E249&lt;&gt;"",COUNTIF($E$2:$E$800,E249)&gt;1),"DUPLICATE","")</f>
        <v/>
      </c>
    </row>
    <row r="250">
      <c r="AA250" s="5" t="n"/>
      <c r="AB250" s="5" t="n"/>
      <c r="AC250">
        <f>IF(AND(E250&lt;&gt;"",COUNTIF($E$2:$E$800,E250)&gt;1),"DUPLICATE","")</f>
        <v/>
      </c>
    </row>
    <row r="251">
      <c r="AA251" s="5" t="n"/>
      <c r="AB251" s="5" t="n"/>
      <c r="AC251">
        <f>IF(AND(E251&lt;&gt;"",COUNTIF($E$2:$E$800,E251)&gt;1),"DUPLICATE","")</f>
        <v/>
      </c>
    </row>
    <row r="252">
      <c r="AA252" s="5" t="n"/>
      <c r="AB252" s="5" t="n"/>
      <c r="AC252">
        <f>IF(AND(E252&lt;&gt;"",COUNTIF($E$2:$E$800,E252)&gt;1),"DUPLICATE","")</f>
        <v/>
      </c>
    </row>
    <row r="253">
      <c r="AA253" s="5" t="n"/>
      <c r="AB253" s="5" t="n"/>
      <c r="AC253">
        <f>IF(AND(E253&lt;&gt;"",COUNTIF($E$2:$E$800,E253)&gt;1),"DUPLICATE","")</f>
        <v/>
      </c>
    </row>
    <row r="254">
      <c r="AA254" s="5" t="n"/>
      <c r="AB254" s="5" t="n"/>
      <c r="AC254">
        <f>IF(AND(E254&lt;&gt;"",COUNTIF($E$2:$E$800,E254)&gt;1),"DUPLICATE","")</f>
        <v/>
      </c>
    </row>
    <row r="255">
      <c r="AA255" s="5" t="n"/>
      <c r="AB255" s="5" t="n"/>
      <c r="AC255">
        <f>IF(AND(E255&lt;&gt;"",COUNTIF($E$2:$E$800,E255)&gt;1),"DUPLICATE","")</f>
        <v/>
      </c>
    </row>
    <row r="256">
      <c r="AA256" s="5" t="n"/>
      <c r="AB256" s="5" t="n"/>
      <c r="AC256">
        <f>IF(AND(E256&lt;&gt;"",COUNTIF($E$2:$E$800,E256)&gt;1),"DUPLICATE","")</f>
        <v/>
      </c>
    </row>
    <row r="257">
      <c r="AA257" s="5" t="n"/>
      <c r="AB257" s="5" t="n"/>
      <c r="AC257">
        <f>IF(AND(E257&lt;&gt;"",COUNTIF($E$2:$E$800,E257)&gt;1),"DUPLICATE","")</f>
        <v/>
      </c>
    </row>
    <row r="258">
      <c r="AA258" s="5" t="n"/>
      <c r="AB258" s="5" t="n"/>
      <c r="AC258">
        <f>IF(AND(E258&lt;&gt;"",COUNTIF($E$2:$E$800,E258)&gt;1),"DUPLICATE","")</f>
        <v/>
      </c>
    </row>
    <row r="259">
      <c r="AA259" s="5" t="n"/>
      <c r="AB259" s="5" t="n"/>
      <c r="AC259">
        <f>IF(AND(E259&lt;&gt;"",COUNTIF($E$2:$E$800,E259)&gt;1),"DUPLICATE","")</f>
        <v/>
      </c>
    </row>
    <row r="260">
      <c r="AA260" s="5" t="n"/>
      <c r="AB260" s="5" t="n"/>
      <c r="AC260">
        <f>IF(AND(E260&lt;&gt;"",COUNTIF($E$2:$E$800,E260)&gt;1),"DUPLICATE","")</f>
        <v/>
      </c>
    </row>
    <row r="261">
      <c r="AA261" s="5" t="n"/>
      <c r="AB261" s="5" t="n"/>
      <c r="AC261">
        <f>IF(AND(E261&lt;&gt;"",COUNTIF($E$2:$E$800,E261)&gt;1),"DUPLICATE","")</f>
        <v/>
      </c>
    </row>
    <row r="262">
      <c r="AA262" s="5" t="n"/>
      <c r="AB262" s="5" t="n"/>
      <c r="AC262">
        <f>IF(AND(E262&lt;&gt;"",COUNTIF($E$2:$E$800,E262)&gt;1),"DUPLICATE","")</f>
        <v/>
      </c>
    </row>
    <row r="263">
      <c r="AA263" s="5" t="n"/>
      <c r="AB263" s="5" t="n"/>
      <c r="AC263">
        <f>IF(AND(E263&lt;&gt;"",COUNTIF($E$2:$E$800,E263)&gt;1),"DUPLICATE","")</f>
        <v/>
      </c>
    </row>
    <row r="264">
      <c r="AA264" s="5" t="n"/>
      <c r="AB264" s="5" t="n"/>
      <c r="AC264">
        <f>IF(AND(E264&lt;&gt;"",COUNTIF($E$2:$E$800,E264)&gt;1),"DUPLICATE","")</f>
        <v/>
      </c>
    </row>
    <row r="265">
      <c r="AA265" s="5" t="n"/>
      <c r="AB265" s="5" t="n"/>
      <c r="AC265">
        <f>IF(AND(E265&lt;&gt;"",COUNTIF($E$2:$E$800,E265)&gt;1),"DUPLICATE","")</f>
        <v/>
      </c>
    </row>
    <row r="266">
      <c r="AA266" s="5" t="n"/>
      <c r="AB266" s="5" t="n"/>
      <c r="AC266">
        <f>IF(AND(E266&lt;&gt;"",COUNTIF($E$2:$E$800,E266)&gt;1),"DUPLICATE","")</f>
        <v/>
      </c>
    </row>
    <row r="267">
      <c r="AA267" s="5" t="n"/>
      <c r="AB267" s="5" t="n"/>
      <c r="AC267">
        <f>IF(AND(E267&lt;&gt;"",COUNTIF($E$2:$E$800,E267)&gt;1),"DUPLICATE","")</f>
        <v/>
      </c>
    </row>
    <row r="268">
      <c r="AA268" s="5" t="n"/>
      <c r="AB268" s="5" t="n"/>
      <c r="AC268">
        <f>IF(AND(E268&lt;&gt;"",COUNTIF($E$2:$E$800,E268)&gt;1),"DUPLICATE","")</f>
        <v/>
      </c>
    </row>
    <row r="269">
      <c r="AA269" s="5" t="n"/>
      <c r="AB269" s="5" t="n"/>
      <c r="AC269">
        <f>IF(AND(E269&lt;&gt;"",COUNTIF($E$2:$E$800,E269)&gt;1),"DUPLICATE","")</f>
        <v/>
      </c>
    </row>
    <row r="270">
      <c r="AA270" s="5" t="n"/>
      <c r="AB270" s="5" t="n"/>
      <c r="AC270">
        <f>IF(AND(E270&lt;&gt;"",COUNTIF($E$2:$E$800,E270)&gt;1),"DUPLICATE","")</f>
        <v/>
      </c>
    </row>
    <row r="271">
      <c r="AA271" s="5" t="n"/>
      <c r="AB271" s="5" t="n"/>
      <c r="AC271">
        <f>IF(AND(E271&lt;&gt;"",COUNTIF($E$2:$E$800,E271)&gt;1),"DUPLICATE","")</f>
        <v/>
      </c>
    </row>
    <row r="272">
      <c r="AA272" s="5" t="n"/>
      <c r="AB272" s="5" t="n"/>
      <c r="AC272">
        <f>IF(AND(E272&lt;&gt;"",COUNTIF($E$2:$E$800,E272)&gt;1),"DUPLICATE","")</f>
        <v/>
      </c>
    </row>
    <row r="273">
      <c r="AA273" s="5" t="n"/>
      <c r="AB273" s="5" t="n"/>
      <c r="AC273">
        <f>IF(AND(E273&lt;&gt;"",COUNTIF($E$2:$E$800,E273)&gt;1),"DUPLICATE","")</f>
        <v/>
      </c>
    </row>
    <row r="274">
      <c r="AA274" s="5" t="n"/>
      <c r="AB274" s="5" t="n"/>
      <c r="AC274">
        <f>IF(AND(E274&lt;&gt;"",COUNTIF($E$2:$E$800,E274)&gt;1),"DUPLICATE","")</f>
        <v/>
      </c>
    </row>
    <row r="275">
      <c r="AA275" s="5" t="n"/>
      <c r="AB275" s="5" t="n"/>
      <c r="AC275">
        <f>IF(AND(E275&lt;&gt;"",COUNTIF($E$2:$E$800,E275)&gt;1),"DUPLICATE","")</f>
        <v/>
      </c>
    </row>
    <row r="276">
      <c r="AA276" s="5" t="n"/>
      <c r="AB276" s="5" t="n"/>
      <c r="AC276">
        <f>IF(AND(E276&lt;&gt;"",COUNTIF($E$2:$E$800,E276)&gt;1),"DUPLICATE","")</f>
        <v/>
      </c>
    </row>
    <row r="277">
      <c r="AA277" s="5" t="n"/>
      <c r="AB277" s="5" t="n"/>
      <c r="AC277">
        <f>IF(AND(E277&lt;&gt;"",COUNTIF($E$2:$E$800,E277)&gt;1),"DUPLICATE","")</f>
        <v/>
      </c>
    </row>
    <row r="278">
      <c r="AA278" s="5" t="n"/>
      <c r="AB278" s="5" t="n"/>
      <c r="AC278">
        <f>IF(AND(E278&lt;&gt;"",COUNTIF($E$2:$E$800,E278)&gt;1),"DUPLICATE","")</f>
        <v/>
      </c>
    </row>
    <row r="279">
      <c r="AA279" s="5" t="n"/>
      <c r="AB279" s="5" t="n"/>
      <c r="AC279">
        <f>IF(AND(E279&lt;&gt;"",COUNTIF($E$2:$E$800,E279)&gt;1),"DUPLICATE","")</f>
        <v/>
      </c>
    </row>
    <row r="280">
      <c r="AA280" s="5" t="n"/>
      <c r="AB280" s="5" t="n"/>
      <c r="AC280">
        <f>IF(AND(E280&lt;&gt;"",COUNTIF($E$2:$E$800,E280)&gt;1),"DUPLICATE","")</f>
        <v/>
      </c>
    </row>
    <row r="281">
      <c r="AA281" s="5" t="n"/>
      <c r="AB281" s="5" t="n"/>
      <c r="AC281">
        <f>IF(AND(E281&lt;&gt;"",COUNTIF($E$2:$E$800,E281)&gt;1),"DUPLICATE","")</f>
        <v/>
      </c>
    </row>
    <row r="282">
      <c r="AA282" s="5" t="n"/>
      <c r="AB282" s="5" t="n"/>
      <c r="AC282">
        <f>IF(AND(E282&lt;&gt;"",COUNTIF($E$2:$E$800,E282)&gt;1),"DUPLICATE","")</f>
        <v/>
      </c>
    </row>
    <row r="283">
      <c r="AA283" s="5" t="n"/>
      <c r="AB283" s="5" t="n"/>
      <c r="AC283">
        <f>IF(AND(E283&lt;&gt;"",COUNTIF($E$2:$E$800,E283)&gt;1),"DUPLICATE","")</f>
        <v/>
      </c>
    </row>
    <row r="284">
      <c r="AA284" s="5" t="n"/>
      <c r="AB284" s="5" t="n"/>
      <c r="AC284">
        <f>IF(AND(E284&lt;&gt;"",COUNTIF($E$2:$E$800,E284)&gt;1),"DUPLICATE","")</f>
        <v/>
      </c>
    </row>
    <row r="285">
      <c r="AA285" s="5" t="n"/>
      <c r="AB285" s="5" t="n"/>
      <c r="AC285">
        <f>IF(AND(E285&lt;&gt;"",COUNTIF($E$2:$E$800,E285)&gt;1),"DUPLICATE","")</f>
        <v/>
      </c>
    </row>
    <row r="286">
      <c r="AA286" s="5" t="n"/>
      <c r="AB286" s="5" t="n"/>
      <c r="AC286">
        <f>IF(AND(E286&lt;&gt;"",COUNTIF($E$2:$E$800,E286)&gt;1),"DUPLICATE","")</f>
        <v/>
      </c>
    </row>
    <row r="287">
      <c r="AA287" s="5" t="n"/>
      <c r="AB287" s="5" t="n"/>
      <c r="AC287">
        <f>IF(AND(E287&lt;&gt;"",COUNTIF($E$2:$E$800,E287)&gt;1),"DUPLICATE","")</f>
        <v/>
      </c>
    </row>
    <row r="288">
      <c r="AA288" s="5" t="n"/>
      <c r="AB288" s="5" t="n"/>
      <c r="AC288">
        <f>IF(AND(E288&lt;&gt;"",COUNTIF($E$2:$E$800,E288)&gt;1),"DUPLICATE","")</f>
        <v/>
      </c>
    </row>
    <row r="289">
      <c r="AA289" s="5" t="n"/>
      <c r="AB289" s="5" t="n"/>
      <c r="AC289">
        <f>IF(AND(E289&lt;&gt;"",COUNTIF($E$2:$E$800,E289)&gt;1),"DUPLICATE","")</f>
        <v/>
      </c>
    </row>
    <row r="290">
      <c r="AA290" s="5" t="n"/>
      <c r="AB290" s="5" t="n"/>
      <c r="AC290">
        <f>IF(AND(E290&lt;&gt;"",COUNTIF($E$2:$E$800,E290)&gt;1),"DUPLICATE","")</f>
        <v/>
      </c>
    </row>
    <row r="291">
      <c r="AA291" s="5" t="n"/>
      <c r="AB291" s="5" t="n"/>
      <c r="AC291">
        <f>IF(AND(E291&lt;&gt;"",COUNTIF($E$2:$E$800,E291)&gt;1),"DUPLICATE","")</f>
        <v/>
      </c>
    </row>
    <row r="292">
      <c r="AA292" s="5" t="n"/>
      <c r="AB292" s="5" t="n"/>
      <c r="AC292">
        <f>IF(AND(E292&lt;&gt;"",COUNTIF($E$2:$E$800,E292)&gt;1),"DUPLICATE","")</f>
        <v/>
      </c>
    </row>
    <row r="293">
      <c r="AA293" s="5" t="n"/>
      <c r="AB293" s="5" t="n"/>
      <c r="AC293">
        <f>IF(AND(E293&lt;&gt;"",COUNTIF($E$2:$E$800,E293)&gt;1),"DUPLICATE","")</f>
        <v/>
      </c>
    </row>
    <row r="294">
      <c r="AA294" s="5" t="n"/>
      <c r="AB294" s="5" t="n"/>
      <c r="AC294">
        <f>IF(AND(E294&lt;&gt;"",COUNTIF($E$2:$E$800,E294)&gt;1),"DUPLICATE","")</f>
        <v/>
      </c>
    </row>
    <row r="295">
      <c r="AA295" s="5" t="n"/>
      <c r="AB295" s="5" t="n"/>
      <c r="AC295">
        <f>IF(AND(E295&lt;&gt;"",COUNTIF($E$2:$E$800,E295)&gt;1),"DUPLICATE","")</f>
        <v/>
      </c>
    </row>
    <row r="296">
      <c r="AA296" s="5" t="n"/>
      <c r="AB296" s="5" t="n"/>
      <c r="AC296">
        <f>IF(AND(E296&lt;&gt;"",COUNTIF($E$2:$E$800,E296)&gt;1),"DUPLICATE","")</f>
        <v/>
      </c>
    </row>
    <row r="297">
      <c r="AA297" s="5" t="n"/>
      <c r="AB297" s="5" t="n"/>
      <c r="AC297">
        <f>IF(AND(E297&lt;&gt;"",COUNTIF($E$2:$E$800,E297)&gt;1),"DUPLICATE","")</f>
        <v/>
      </c>
    </row>
    <row r="298">
      <c r="AA298" s="5" t="n"/>
      <c r="AB298" s="5" t="n"/>
      <c r="AC298">
        <f>IF(AND(E298&lt;&gt;"",COUNTIF($E$2:$E$800,E298)&gt;1),"DUPLICATE","")</f>
        <v/>
      </c>
    </row>
    <row r="299">
      <c r="AA299" s="5" t="n"/>
      <c r="AB299" s="5" t="n"/>
      <c r="AC299">
        <f>IF(AND(E299&lt;&gt;"",COUNTIF($E$2:$E$800,E299)&gt;1),"DUPLICATE","")</f>
        <v/>
      </c>
    </row>
    <row r="300">
      <c r="AA300" s="5" t="n"/>
      <c r="AB300" s="5" t="n"/>
      <c r="AC300">
        <f>IF(AND(E300&lt;&gt;"",COUNTIF($E$2:$E$800,E300)&gt;1),"DUPLICATE","")</f>
        <v/>
      </c>
    </row>
    <row r="301">
      <c r="AA301" s="5" t="n"/>
      <c r="AB301" s="5" t="n"/>
      <c r="AC301">
        <f>IF(AND(E301&lt;&gt;"",COUNTIF($E$2:$E$800,E301)&gt;1),"DUPLICATE","")</f>
        <v/>
      </c>
    </row>
    <row r="302">
      <c r="AA302" s="5" t="n"/>
      <c r="AB302" s="5" t="n"/>
      <c r="AC302">
        <f>IF(AND(E302&lt;&gt;"",COUNTIF($E$2:$E$800,E302)&gt;1),"DUPLICATE","")</f>
        <v/>
      </c>
    </row>
    <row r="303">
      <c r="AA303" s="5" t="n"/>
      <c r="AB303" s="5" t="n"/>
      <c r="AC303">
        <f>IF(AND(E303&lt;&gt;"",COUNTIF($E$2:$E$800,E303)&gt;1),"DUPLICATE","")</f>
        <v/>
      </c>
    </row>
    <row r="304">
      <c r="AA304" s="5" t="n"/>
      <c r="AB304" s="5" t="n"/>
      <c r="AC304">
        <f>IF(AND(E304&lt;&gt;"",COUNTIF($E$2:$E$800,E304)&gt;1),"DUPLICATE","")</f>
        <v/>
      </c>
    </row>
    <row r="305">
      <c r="AA305" s="5" t="n"/>
      <c r="AB305" s="5" t="n"/>
      <c r="AC305">
        <f>IF(AND(E305&lt;&gt;"",COUNTIF($E$2:$E$800,E305)&gt;1),"DUPLICATE","")</f>
        <v/>
      </c>
    </row>
    <row r="306">
      <c r="AA306" s="5" t="n"/>
      <c r="AB306" s="5" t="n"/>
      <c r="AC306">
        <f>IF(AND(E306&lt;&gt;"",COUNTIF($E$2:$E$800,E306)&gt;1),"DUPLICATE","")</f>
        <v/>
      </c>
    </row>
    <row r="307">
      <c r="AA307" s="5" t="n"/>
      <c r="AB307" s="5" t="n"/>
      <c r="AC307">
        <f>IF(AND(E307&lt;&gt;"",COUNTIF($E$2:$E$800,E307)&gt;1),"DUPLICATE","")</f>
        <v/>
      </c>
    </row>
    <row r="308">
      <c r="AA308" s="5" t="n"/>
      <c r="AB308" s="5" t="n"/>
      <c r="AC308">
        <f>IF(AND(E308&lt;&gt;"",COUNTIF($E$2:$E$800,E308)&gt;1),"DUPLICATE","")</f>
        <v/>
      </c>
    </row>
    <row r="309">
      <c r="AA309" s="5" t="n"/>
      <c r="AB309" s="5" t="n"/>
      <c r="AC309">
        <f>IF(AND(E309&lt;&gt;"",COUNTIF($E$2:$E$800,E309)&gt;1),"DUPLICATE","")</f>
        <v/>
      </c>
    </row>
    <row r="310">
      <c r="AA310" s="5" t="n"/>
      <c r="AB310" s="5" t="n"/>
      <c r="AC310">
        <f>IF(AND(E310&lt;&gt;"",COUNTIF($E$2:$E$800,E310)&gt;1),"DUPLICATE","")</f>
        <v/>
      </c>
    </row>
    <row r="311">
      <c r="AA311" s="5" t="n"/>
      <c r="AB311" s="5" t="n"/>
      <c r="AC311">
        <f>IF(AND(E311&lt;&gt;"",COUNTIF($E$2:$E$800,E311)&gt;1),"DUPLICATE","")</f>
        <v/>
      </c>
    </row>
    <row r="312">
      <c r="AA312" s="5" t="n"/>
      <c r="AB312" s="5" t="n"/>
      <c r="AC312">
        <f>IF(AND(E312&lt;&gt;"",COUNTIF($E$2:$E$800,E312)&gt;1),"DUPLICATE","")</f>
        <v/>
      </c>
    </row>
    <row r="313">
      <c r="AA313" s="5" t="n"/>
      <c r="AB313" s="5" t="n"/>
      <c r="AC313">
        <f>IF(AND(E313&lt;&gt;"",COUNTIF($E$2:$E$800,E313)&gt;1),"DUPLICATE","")</f>
        <v/>
      </c>
    </row>
    <row r="314">
      <c r="AA314" s="5" t="n"/>
      <c r="AB314" s="5" t="n"/>
      <c r="AC314">
        <f>IF(AND(E314&lt;&gt;"",COUNTIF($E$2:$E$800,E314)&gt;1),"DUPLICATE","")</f>
        <v/>
      </c>
    </row>
    <row r="315">
      <c r="AA315" s="5" t="n"/>
      <c r="AB315" s="5" t="n"/>
      <c r="AC315">
        <f>IF(AND(E315&lt;&gt;"",COUNTIF($E$2:$E$800,E315)&gt;1),"DUPLICATE","")</f>
        <v/>
      </c>
    </row>
    <row r="316">
      <c r="AA316" s="5" t="n"/>
      <c r="AB316" s="5" t="n"/>
      <c r="AC316">
        <f>IF(AND(E316&lt;&gt;"",COUNTIF($E$2:$E$800,E316)&gt;1),"DUPLICATE","")</f>
        <v/>
      </c>
    </row>
    <row r="317">
      <c r="AA317" s="5" t="n"/>
      <c r="AB317" s="5" t="n"/>
      <c r="AC317">
        <f>IF(AND(E317&lt;&gt;"",COUNTIF($E$2:$E$800,E317)&gt;1),"DUPLICATE","")</f>
        <v/>
      </c>
    </row>
    <row r="318">
      <c r="AA318" s="5" t="n"/>
      <c r="AB318" s="5" t="n"/>
      <c r="AC318">
        <f>IF(AND(E318&lt;&gt;"",COUNTIF($E$2:$E$800,E318)&gt;1),"DUPLICATE","")</f>
        <v/>
      </c>
    </row>
    <row r="319">
      <c r="AA319" s="5" t="n"/>
      <c r="AB319" s="5" t="n"/>
      <c r="AC319">
        <f>IF(AND(E319&lt;&gt;"",COUNTIF($E$2:$E$800,E319)&gt;1),"DUPLICATE","")</f>
        <v/>
      </c>
    </row>
    <row r="320">
      <c r="AA320" s="5" t="n"/>
      <c r="AB320" s="5" t="n"/>
      <c r="AC320">
        <f>IF(AND(E320&lt;&gt;"",COUNTIF($E$2:$E$800,E320)&gt;1),"DUPLICATE","")</f>
        <v/>
      </c>
    </row>
    <row r="321">
      <c r="AA321" s="5" t="n"/>
      <c r="AB321" s="5" t="n"/>
      <c r="AC321">
        <f>IF(AND(E321&lt;&gt;"",COUNTIF($E$2:$E$800,E321)&gt;1),"DUPLICATE","")</f>
        <v/>
      </c>
    </row>
    <row r="322">
      <c r="AA322" s="5" t="n"/>
      <c r="AB322" s="5" t="n"/>
      <c r="AC322">
        <f>IF(AND(E322&lt;&gt;"",COUNTIF($E$2:$E$800,E322)&gt;1),"DUPLICATE","")</f>
        <v/>
      </c>
    </row>
    <row r="323">
      <c r="AA323" s="5" t="n"/>
      <c r="AB323" s="5" t="n"/>
      <c r="AC323">
        <f>IF(AND(E323&lt;&gt;"",COUNTIF($E$2:$E$800,E323)&gt;1),"DUPLICATE","")</f>
        <v/>
      </c>
    </row>
    <row r="324">
      <c r="AA324" s="5" t="n"/>
      <c r="AB324" s="5" t="n"/>
      <c r="AC324">
        <f>IF(AND(E324&lt;&gt;"",COUNTIF($E$2:$E$800,E324)&gt;1),"DUPLICATE","")</f>
        <v/>
      </c>
    </row>
    <row r="325">
      <c r="AA325" s="5" t="n"/>
      <c r="AB325" s="5" t="n"/>
      <c r="AC325">
        <f>IF(AND(E325&lt;&gt;"",COUNTIF($E$2:$E$800,E325)&gt;1),"DUPLICATE","")</f>
        <v/>
      </c>
    </row>
    <row r="326">
      <c r="AA326" s="5" t="n"/>
      <c r="AB326" s="5" t="n"/>
      <c r="AC326">
        <f>IF(AND(E326&lt;&gt;"",COUNTIF($E$2:$E$800,E326)&gt;1),"DUPLICATE","")</f>
        <v/>
      </c>
    </row>
    <row r="327">
      <c r="AA327" s="5" t="n"/>
      <c r="AB327" s="5" t="n"/>
      <c r="AC327">
        <f>IF(AND(E327&lt;&gt;"",COUNTIF($E$2:$E$800,E327)&gt;1),"DUPLICATE","")</f>
        <v/>
      </c>
    </row>
    <row r="328">
      <c r="AA328" s="5" t="n"/>
      <c r="AB328" s="5" t="n"/>
      <c r="AC328">
        <f>IF(AND(E328&lt;&gt;"",COUNTIF($E$2:$E$800,E328)&gt;1),"DUPLICATE","")</f>
        <v/>
      </c>
    </row>
    <row r="329">
      <c r="AA329" s="5" t="n"/>
      <c r="AB329" s="5" t="n"/>
      <c r="AC329">
        <f>IF(AND(E329&lt;&gt;"",COUNTIF($E$2:$E$800,E329)&gt;1),"DUPLICATE","")</f>
        <v/>
      </c>
    </row>
    <row r="330">
      <c r="AA330" s="5" t="n"/>
      <c r="AB330" s="5" t="n"/>
      <c r="AC330">
        <f>IF(AND(E330&lt;&gt;"",COUNTIF($E$2:$E$800,E330)&gt;1),"DUPLICATE","")</f>
        <v/>
      </c>
    </row>
    <row r="331">
      <c r="AA331" s="5" t="n"/>
      <c r="AB331" s="5" t="n"/>
      <c r="AC331">
        <f>IF(AND(E331&lt;&gt;"",COUNTIF($E$2:$E$800,E331)&gt;1),"DUPLICATE","")</f>
        <v/>
      </c>
    </row>
    <row r="332">
      <c r="AA332" s="5" t="n"/>
      <c r="AB332" s="5" t="n"/>
      <c r="AC332">
        <f>IF(AND(E332&lt;&gt;"",COUNTIF($E$2:$E$800,E332)&gt;1),"DUPLICATE","")</f>
        <v/>
      </c>
    </row>
    <row r="333">
      <c r="AA333" s="5" t="n"/>
      <c r="AB333" s="5" t="n"/>
      <c r="AC333">
        <f>IF(AND(E333&lt;&gt;"",COUNTIF($E$2:$E$800,E333)&gt;1),"DUPLICATE","")</f>
        <v/>
      </c>
    </row>
    <row r="334">
      <c r="AA334" s="5" t="n"/>
      <c r="AB334" s="5" t="n"/>
      <c r="AC334">
        <f>IF(AND(E334&lt;&gt;"",COUNTIF($E$2:$E$800,E334)&gt;1),"DUPLICATE","")</f>
        <v/>
      </c>
    </row>
    <row r="335">
      <c r="AA335" s="5" t="n"/>
      <c r="AB335" s="5" t="n"/>
      <c r="AC335">
        <f>IF(AND(E335&lt;&gt;"",COUNTIF($E$2:$E$800,E335)&gt;1),"DUPLICATE","")</f>
        <v/>
      </c>
    </row>
    <row r="336">
      <c r="AA336" s="5" t="n"/>
      <c r="AB336" s="5" t="n"/>
      <c r="AC336">
        <f>IF(AND(E336&lt;&gt;"",COUNTIF($E$2:$E$800,E336)&gt;1),"DUPLICATE","")</f>
        <v/>
      </c>
    </row>
    <row r="337">
      <c r="AA337" s="5" t="n"/>
      <c r="AB337" s="5" t="n"/>
      <c r="AC337">
        <f>IF(AND(E337&lt;&gt;"",COUNTIF($E$2:$E$800,E337)&gt;1),"DUPLICATE","")</f>
        <v/>
      </c>
    </row>
    <row r="338">
      <c r="AA338" s="5" t="n"/>
      <c r="AB338" s="5" t="n"/>
      <c r="AC338">
        <f>IF(AND(E338&lt;&gt;"",COUNTIF($E$2:$E$800,E338)&gt;1),"DUPLICATE","")</f>
        <v/>
      </c>
    </row>
    <row r="339">
      <c r="AA339" s="5" t="n"/>
      <c r="AB339" s="5" t="n"/>
      <c r="AC339">
        <f>IF(AND(E339&lt;&gt;"",COUNTIF($E$2:$E$800,E339)&gt;1),"DUPLICATE","")</f>
        <v/>
      </c>
    </row>
    <row r="340">
      <c r="AA340" s="5" t="n"/>
      <c r="AB340" s="5" t="n"/>
      <c r="AC340">
        <f>IF(AND(E340&lt;&gt;"",COUNTIF($E$2:$E$800,E340)&gt;1),"DUPLICATE","")</f>
        <v/>
      </c>
    </row>
    <row r="341">
      <c r="AA341" s="5" t="n"/>
      <c r="AB341" s="5" t="n"/>
      <c r="AC341">
        <f>IF(AND(E341&lt;&gt;"",COUNTIF($E$2:$E$800,E341)&gt;1),"DUPLICATE","")</f>
        <v/>
      </c>
    </row>
    <row r="342">
      <c r="AA342" s="5" t="n"/>
      <c r="AB342" s="5" t="n"/>
      <c r="AC342">
        <f>IF(AND(E342&lt;&gt;"",COUNTIF($E$2:$E$800,E342)&gt;1),"DUPLICATE","")</f>
        <v/>
      </c>
    </row>
    <row r="343">
      <c r="AA343" s="5" t="n"/>
      <c r="AB343" s="5" t="n"/>
      <c r="AC343">
        <f>IF(AND(E343&lt;&gt;"",COUNTIF($E$2:$E$800,E343)&gt;1),"DUPLICATE","")</f>
        <v/>
      </c>
    </row>
    <row r="344">
      <c r="AA344" s="5" t="n"/>
      <c r="AB344" s="5" t="n"/>
      <c r="AC344">
        <f>IF(AND(E344&lt;&gt;"",COUNTIF($E$2:$E$800,E344)&gt;1),"DUPLICATE","")</f>
        <v/>
      </c>
    </row>
    <row r="345">
      <c r="AA345" s="5" t="n"/>
      <c r="AB345" s="5" t="n"/>
      <c r="AC345">
        <f>IF(AND(E345&lt;&gt;"",COUNTIF($E$2:$E$800,E345)&gt;1),"DUPLICATE","")</f>
        <v/>
      </c>
    </row>
    <row r="346">
      <c r="AA346" s="5" t="n"/>
      <c r="AB346" s="5" t="n"/>
      <c r="AC346">
        <f>IF(AND(E346&lt;&gt;"",COUNTIF($E$2:$E$800,E346)&gt;1),"DUPLICATE","")</f>
        <v/>
      </c>
    </row>
    <row r="347">
      <c r="AA347" s="5" t="n"/>
      <c r="AB347" s="5" t="n"/>
      <c r="AC347">
        <f>IF(AND(E347&lt;&gt;"",COUNTIF($E$2:$E$800,E347)&gt;1),"DUPLICATE","")</f>
        <v/>
      </c>
    </row>
    <row r="348">
      <c r="AA348" s="5" t="n"/>
      <c r="AB348" s="5" t="n"/>
      <c r="AC348">
        <f>IF(AND(E348&lt;&gt;"",COUNTIF($E$2:$E$800,E348)&gt;1),"DUPLICATE","")</f>
        <v/>
      </c>
    </row>
    <row r="349">
      <c r="AA349" s="5" t="n"/>
      <c r="AB349" s="5" t="n"/>
      <c r="AC349">
        <f>IF(AND(E349&lt;&gt;"",COUNTIF($E$2:$E$800,E349)&gt;1),"DUPLICATE","")</f>
        <v/>
      </c>
    </row>
    <row r="350">
      <c r="AA350" s="5" t="n"/>
      <c r="AB350" s="5" t="n"/>
      <c r="AC350">
        <f>IF(AND(E350&lt;&gt;"",COUNTIF($E$2:$E$800,E350)&gt;1),"DUPLICATE","")</f>
        <v/>
      </c>
    </row>
    <row r="351">
      <c r="AA351" s="5" t="n"/>
      <c r="AB351" s="5" t="n"/>
      <c r="AC351">
        <f>IF(AND(E351&lt;&gt;"",COUNTIF($E$2:$E$800,E351)&gt;1),"DUPLICATE","")</f>
        <v/>
      </c>
    </row>
    <row r="352">
      <c r="AA352" s="5" t="n"/>
      <c r="AB352" s="5" t="n"/>
      <c r="AC352">
        <f>IF(AND(E352&lt;&gt;"",COUNTIF($E$2:$E$800,E352)&gt;1),"DUPLICATE","")</f>
        <v/>
      </c>
    </row>
    <row r="353">
      <c r="AA353" s="5" t="n"/>
      <c r="AB353" s="5" t="n"/>
      <c r="AC353">
        <f>IF(AND(E353&lt;&gt;"",COUNTIF($E$2:$E$800,E353)&gt;1),"DUPLICATE","")</f>
        <v/>
      </c>
    </row>
    <row r="354">
      <c r="AA354" s="5" t="n"/>
      <c r="AB354" s="5" t="n"/>
      <c r="AC354">
        <f>IF(AND(E354&lt;&gt;"",COUNTIF($E$2:$E$800,E354)&gt;1),"DUPLICATE","")</f>
        <v/>
      </c>
    </row>
    <row r="355">
      <c r="AA355" s="5" t="n"/>
      <c r="AB355" s="5" t="n"/>
      <c r="AC355">
        <f>IF(AND(E355&lt;&gt;"",COUNTIF($E$2:$E$800,E355)&gt;1),"DUPLICATE","")</f>
        <v/>
      </c>
    </row>
    <row r="356">
      <c r="AA356" s="5" t="n"/>
      <c r="AB356" s="5" t="n"/>
      <c r="AC356">
        <f>IF(AND(E356&lt;&gt;"",COUNTIF($E$2:$E$800,E356)&gt;1),"DUPLICATE","")</f>
        <v/>
      </c>
    </row>
    <row r="357">
      <c r="AA357" s="5" t="n"/>
      <c r="AB357" s="5" t="n"/>
      <c r="AC357">
        <f>IF(AND(E357&lt;&gt;"",COUNTIF($E$2:$E$800,E357)&gt;1),"DUPLICATE","")</f>
        <v/>
      </c>
    </row>
    <row r="358">
      <c r="AA358" s="5" t="n"/>
      <c r="AB358" s="5" t="n"/>
      <c r="AC358">
        <f>IF(AND(E358&lt;&gt;"",COUNTIF($E$2:$E$800,E358)&gt;1),"DUPLICATE","")</f>
        <v/>
      </c>
    </row>
    <row r="359">
      <c r="AA359" s="5" t="n"/>
      <c r="AB359" s="5" t="n"/>
      <c r="AC359">
        <f>IF(AND(E359&lt;&gt;"",COUNTIF($E$2:$E$800,E359)&gt;1),"DUPLICATE","")</f>
        <v/>
      </c>
    </row>
    <row r="360">
      <c r="AA360" s="5" t="n"/>
      <c r="AB360" s="5" t="n"/>
      <c r="AC360">
        <f>IF(AND(E360&lt;&gt;"",COUNTIF($E$2:$E$800,E360)&gt;1),"DUPLICATE","")</f>
        <v/>
      </c>
    </row>
    <row r="361">
      <c r="AA361" s="5" t="n"/>
      <c r="AB361" s="5" t="n"/>
      <c r="AC361">
        <f>IF(AND(E361&lt;&gt;"",COUNTIF($E$2:$E$800,E361)&gt;1),"DUPLICATE","")</f>
        <v/>
      </c>
    </row>
    <row r="362">
      <c r="AA362" s="5" t="n"/>
      <c r="AB362" s="5" t="n"/>
      <c r="AC362">
        <f>IF(AND(E362&lt;&gt;"",COUNTIF($E$2:$E$800,E362)&gt;1),"DUPLICATE","")</f>
        <v/>
      </c>
    </row>
    <row r="363">
      <c r="AA363" s="5" t="n"/>
      <c r="AB363" s="5" t="n"/>
      <c r="AC363">
        <f>IF(AND(E363&lt;&gt;"",COUNTIF($E$2:$E$800,E363)&gt;1),"DUPLICATE","")</f>
        <v/>
      </c>
    </row>
    <row r="364">
      <c r="AA364" s="5" t="n"/>
      <c r="AB364" s="5" t="n"/>
      <c r="AC364">
        <f>IF(AND(E364&lt;&gt;"",COUNTIF($E$2:$E$800,E364)&gt;1),"DUPLICATE","")</f>
        <v/>
      </c>
    </row>
    <row r="365">
      <c r="AA365" s="5" t="n"/>
      <c r="AB365" s="5" t="n"/>
      <c r="AC365">
        <f>IF(AND(E365&lt;&gt;"",COUNTIF($E$2:$E$800,E365)&gt;1),"DUPLICATE","")</f>
        <v/>
      </c>
    </row>
    <row r="366">
      <c r="AA366" s="5" t="n"/>
      <c r="AB366" s="5" t="n"/>
      <c r="AC366">
        <f>IF(AND(E366&lt;&gt;"",COUNTIF($E$2:$E$800,E366)&gt;1),"DUPLICATE","")</f>
        <v/>
      </c>
    </row>
    <row r="367">
      <c r="AA367" s="5" t="n"/>
      <c r="AB367" s="5" t="n"/>
      <c r="AC367">
        <f>IF(AND(E367&lt;&gt;"",COUNTIF($E$2:$E$800,E367)&gt;1),"DUPLICATE","")</f>
        <v/>
      </c>
    </row>
    <row r="368">
      <c r="AA368" s="5" t="n"/>
      <c r="AB368" s="5" t="n"/>
      <c r="AC368">
        <f>IF(AND(E368&lt;&gt;"",COUNTIF($E$2:$E$800,E368)&gt;1),"DUPLICATE","")</f>
        <v/>
      </c>
    </row>
    <row r="369">
      <c r="AA369" s="5" t="n"/>
      <c r="AB369" s="5" t="n"/>
      <c r="AC369">
        <f>IF(AND(E369&lt;&gt;"",COUNTIF($E$2:$E$800,E369)&gt;1),"DUPLICATE","")</f>
        <v/>
      </c>
    </row>
    <row r="370">
      <c r="AA370" s="5" t="n"/>
      <c r="AB370" s="5" t="n"/>
      <c r="AC370">
        <f>IF(AND(E370&lt;&gt;"",COUNTIF($E$2:$E$800,E370)&gt;1),"DUPLICATE","")</f>
        <v/>
      </c>
    </row>
    <row r="371">
      <c r="AA371" s="5" t="n"/>
      <c r="AB371" s="5" t="n"/>
      <c r="AC371">
        <f>IF(AND(E371&lt;&gt;"",COUNTIF($E$2:$E$800,E371)&gt;1),"DUPLICATE","")</f>
        <v/>
      </c>
    </row>
    <row r="372">
      <c r="AA372" s="5" t="n"/>
      <c r="AB372" s="5" t="n"/>
      <c r="AC372">
        <f>IF(AND(E372&lt;&gt;"",COUNTIF($E$2:$E$800,E372)&gt;1),"DUPLICATE","")</f>
        <v/>
      </c>
    </row>
    <row r="373">
      <c r="AA373" s="5" t="n"/>
      <c r="AB373" s="5" t="n"/>
      <c r="AC373">
        <f>IF(AND(E373&lt;&gt;"",COUNTIF($E$2:$E$800,E373)&gt;1),"DUPLICATE","")</f>
        <v/>
      </c>
    </row>
    <row r="374">
      <c r="AA374" s="5" t="n"/>
      <c r="AB374" s="5" t="n"/>
      <c r="AC374">
        <f>IF(AND(E374&lt;&gt;"",COUNTIF($E$2:$E$800,E374)&gt;1),"DUPLICATE","")</f>
        <v/>
      </c>
    </row>
    <row r="375">
      <c r="AA375" s="5" t="n"/>
      <c r="AB375" s="5" t="n"/>
      <c r="AC375">
        <f>IF(AND(E375&lt;&gt;"",COUNTIF($E$2:$E$800,E375)&gt;1),"DUPLICATE","")</f>
        <v/>
      </c>
    </row>
    <row r="376">
      <c r="AA376" s="5" t="n"/>
      <c r="AB376" s="5" t="n"/>
      <c r="AC376">
        <f>IF(AND(E376&lt;&gt;"",COUNTIF($E$2:$E$800,E376)&gt;1),"DUPLICATE","")</f>
        <v/>
      </c>
    </row>
    <row r="377">
      <c r="AA377" s="5" t="n"/>
      <c r="AB377" s="5" t="n"/>
      <c r="AC377">
        <f>IF(AND(E377&lt;&gt;"",COUNTIF($E$2:$E$800,E377)&gt;1),"DUPLICATE","")</f>
        <v/>
      </c>
    </row>
    <row r="378">
      <c r="AA378" s="5" t="n"/>
      <c r="AB378" s="5" t="n"/>
      <c r="AC378">
        <f>IF(AND(E378&lt;&gt;"",COUNTIF($E$2:$E$800,E378)&gt;1),"DUPLICATE","")</f>
        <v/>
      </c>
    </row>
    <row r="379">
      <c r="AA379" s="5" t="n"/>
      <c r="AB379" s="5" t="n"/>
      <c r="AC379">
        <f>IF(AND(E379&lt;&gt;"",COUNTIF($E$2:$E$800,E379)&gt;1),"DUPLICATE","")</f>
        <v/>
      </c>
    </row>
    <row r="380">
      <c r="AA380" s="5" t="n"/>
      <c r="AB380" s="5" t="n"/>
      <c r="AC380">
        <f>IF(AND(E380&lt;&gt;"",COUNTIF($E$2:$E$800,E380)&gt;1),"DUPLICATE","")</f>
        <v/>
      </c>
    </row>
    <row r="381">
      <c r="AA381" s="5" t="n"/>
      <c r="AB381" s="5" t="n"/>
      <c r="AC381">
        <f>IF(AND(E381&lt;&gt;"",COUNTIF($E$2:$E$800,E381)&gt;1),"DUPLICATE","")</f>
        <v/>
      </c>
    </row>
    <row r="382">
      <c r="AA382" s="5" t="n"/>
      <c r="AB382" s="5" t="n"/>
      <c r="AC382">
        <f>IF(AND(E382&lt;&gt;"",COUNTIF($E$2:$E$800,E382)&gt;1),"DUPLICATE","")</f>
        <v/>
      </c>
    </row>
    <row r="383">
      <c r="AA383" s="5" t="n"/>
      <c r="AB383" s="5" t="n"/>
      <c r="AC383">
        <f>IF(AND(E383&lt;&gt;"",COUNTIF($E$2:$E$800,E383)&gt;1),"DUPLICATE","")</f>
        <v/>
      </c>
    </row>
    <row r="384">
      <c r="AA384" s="5" t="n"/>
      <c r="AB384" s="5" t="n"/>
      <c r="AC384">
        <f>IF(AND(E384&lt;&gt;"",COUNTIF($E$2:$E$800,E384)&gt;1),"DUPLICATE","")</f>
        <v/>
      </c>
    </row>
    <row r="385">
      <c r="AA385" s="5" t="n"/>
      <c r="AB385" s="5" t="n"/>
      <c r="AC385">
        <f>IF(AND(E385&lt;&gt;"",COUNTIF($E$2:$E$800,E385)&gt;1),"DUPLICATE","")</f>
        <v/>
      </c>
    </row>
    <row r="386">
      <c r="AA386" s="5" t="n"/>
      <c r="AB386" s="5" t="n"/>
      <c r="AC386">
        <f>IF(AND(E386&lt;&gt;"",COUNTIF($E$2:$E$800,E386)&gt;1),"DUPLICATE","")</f>
        <v/>
      </c>
    </row>
    <row r="387">
      <c r="AA387" s="5" t="n"/>
      <c r="AB387" s="5" t="n"/>
      <c r="AC387">
        <f>IF(AND(E387&lt;&gt;"",COUNTIF($E$2:$E$800,E387)&gt;1),"DUPLICATE","")</f>
        <v/>
      </c>
    </row>
    <row r="388">
      <c r="AA388" s="5" t="n"/>
      <c r="AB388" s="5" t="n"/>
      <c r="AC388">
        <f>IF(AND(E388&lt;&gt;"",COUNTIF($E$2:$E$800,E388)&gt;1),"DUPLICATE","")</f>
        <v/>
      </c>
    </row>
    <row r="389">
      <c r="AA389" s="5" t="n"/>
      <c r="AB389" s="5" t="n"/>
      <c r="AC389">
        <f>IF(AND(E389&lt;&gt;"",COUNTIF($E$2:$E$800,E389)&gt;1),"DUPLICATE","")</f>
        <v/>
      </c>
    </row>
    <row r="390">
      <c r="AA390" s="5" t="n"/>
      <c r="AB390" s="5" t="n"/>
      <c r="AC390">
        <f>IF(AND(E390&lt;&gt;"",COUNTIF($E$2:$E$800,E390)&gt;1),"DUPLICATE","")</f>
        <v/>
      </c>
    </row>
    <row r="391">
      <c r="AA391" s="5" t="n"/>
      <c r="AB391" s="5" t="n"/>
      <c r="AC391">
        <f>IF(AND(E391&lt;&gt;"",COUNTIF($E$2:$E$800,E391)&gt;1),"DUPLICATE","")</f>
        <v/>
      </c>
    </row>
    <row r="392">
      <c r="AA392" s="5" t="n"/>
      <c r="AB392" s="5" t="n"/>
      <c r="AC392">
        <f>IF(AND(E392&lt;&gt;"",COUNTIF($E$2:$E$800,E392)&gt;1),"DUPLICATE","")</f>
        <v/>
      </c>
    </row>
    <row r="393">
      <c r="AA393" s="5" t="n"/>
      <c r="AB393" s="5" t="n"/>
      <c r="AC393">
        <f>IF(AND(E393&lt;&gt;"",COUNTIF($E$2:$E$800,E393)&gt;1),"DUPLICATE","")</f>
        <v/>
      </c>
    </row>
    <row r="394">
      <c r="AA394" s="5" t="n"/>
      <c r="AB394" s="5" t="n"/>
      <c r="AC394">
        <f>IF(AND(E394&lt;&gt;"",COUNTIF($E$2:$E$800,E394)&gt;1),"DUPLICATE","")</f>
        <v/>
      </c>
    </row>
    <row r="395">
      <c r="AA395" s="5" t="n"/>
      <c r="AB395" s="5" t="n"/>
      <c r="AC395">
        <f>IF(AND(E395&lt;&gt;"",COUNTIF($E$2:$E$800,E395)&gt;1),"DUPLICATE","")</f>
        <v/>
      </c>
    </row>
    <row r="396">
      <c r="AA396" s="5" t="n"/>
      <c r="AB396" s="5" t="n"/>
      <c r="AC396">
        <f>IF(AND(E396&lt;&gt;"",COUNTIF($E$2:$E$800,E396)&gt;1),"DUPLICATE","")</f>
        <v/>
      </c>
    </row>
    <row r="397">
      <c r="AA397" s="5" t="n"/>
      <c r="AB397" s="5" t="n"/>
      <c r="AC397">
        <f>IF(AND(E397&lt;&gt;"",COUNTIF($E$2:$E$800,E397)&gt;1),"DUPLICATE","")</f>
        <v/>
      </c>
    </row>
    <row r="398">
      <c r="AA398" s="5" t="n"/>
      <c r="AB398" s="5" t="n"/>
      <c r="AC398">
        <f>IF(AND(E398&lt;&gt;"",COUNTIF($E$2:$E$800,E398)&gt;1),"DUPLICATE","")</f>
        <v/>
      </c>
    </row>
    <row r="399">
      <c r="AA399" s="5" t="n"/>
      <c r="AB399" s="5" t="n"/>
      <c r="AC399">
        <f>IF(AND(E399&lt;&gt;"",COUNTIF($E$2:$E$800,E399)&gt;1),"DUPLICATE","")</f>
        <v/>
      </c>
    </row>
    <row r="400">
      <c r="AA400" s="5" t="n"/>
      <c r="AB400" s="5" t="n"/>
      <c r="AC400">
        <f>IF(AND(E400&lt;&gt;"",COUNTIF($E$2:$E$800,E400)&gt;1),"DUPLICATE","")</f>
        <v/>
      </c>
    </row>
  </sheetData>
  <conditionalFormatting sqref="E2:E800">
    <cfRule type="expression" priority="1" dxfId="0">
      <formula>AND($E2&lt;&gt;"",COUNTIF($E$2:$E$800,$E2)&gt;1)</formula>
    </cfRule>
  </conditionalFormatting>
  <dataValidations count="5">
    <dataValidation sqref="B2:B800" showDropDown="0" showInputMessage="0" showErrorMessage="0" allowBlank="1" type="list">
      <formula1>"Open,Closed,Hidden"</formula1>
    </dataValidation>
    <dataValidation sqref="C2:C800" showDropDown="0" showInputMessage="0" showErrorMessage="0" allowBlank="1" type="list">
      <formula1>"Yes"</formula1>
    </dataValidation>
    <dataValidation sqref="D2:D800" showDropDown="0" showInputMessage="0" showErrorMessage="0" allowBlank="1" type="list">
      <formula1>"Scholarship,Internship"</formula1>
    </dataValidation>
    <dataValidation sqref="G2:G800" showDropDown="0" showInputMessage="0" showErrorMessage="0" allowBlank="1" type="list">
      <formula1>"Africa,Asia,Europe,North America,Latin America &amp; Caribbean,Oceania"</formula1>
    </dataValidation>
    <dataValidation sqref="K2:K800" showDropDown="0" showInputMessage="0" showErrorMessage="0" allowBlank="1" type="list">
      <formula1>"Full,Stipend,Partial"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44" customWidth="1" min="1" max="1"/>
    <col width="18" customWidth="1" min="2" max="2"/>
    <col width="18" customWidth="1" min="3" max="3"/>
    <col width="18" customWidth="1" min="4" max="4"/>
    <col width="50" customWidth="1" min="5" max="5"/>
    <col width="18" customWidth="1" min="6" max="6"/>
    <col width="18" customWidth="1" min="7" max="7"/>
    <col width="30" customWidth="1" min="8" max="8"/>
    <col width="34" customWidth="1" min="9" max="9"/>
    <col width="26" customWidth="1" min="10" max="10"/>
  </cols>
  <sheetData>
    <row r="1">
      <c r="A1" s="2" t="inlineStr">
        <is>
          <t>Title</t>
        </is>
      </c>
      <c r="B1" s="2" t="inlineStr">
        <is>
          <t>Date</t>
        </is>
      </c>
      <c r="C1" s="2" t="inlineStr">
        <is>
          <t>Time</t>
        </is>
      </c>
      <c r="D1" s="2" t="inlineStr">
        <is>
          <t>Status</t>
        </is>
      </c>
      <c r="E1" s="2" t="inlineStr">
        <is>
          <t>Topic</t>
        </is>
      </c>
      <c r="F1" s="2" t="inlineStr">
        <is>
          <t>Speaker</t>
        </is>
      </c>
      <c r="G1" s="2" t="inlineStr">
        <is>
          <t>Attendees</t>
        </is>
      </c>
      <c r="H1" s="2" t="inlineStr">
        <is>
          <t>Register link</t>
        </is>
      </c>
      <c r="I1" s="2" t="inlineStr">
        <is>
          <t>Recording (YouTube link)</t>
        </is>
      </c>
      <c r="J1" s="2" t="inlineStr">
        <is>
          <t>Cover photo</t>
        </is>
      </c>
    </row>
    <row r="2">
      <c r="A2" t="inlineStr">
        <is>
          <t>EXAMPLE: How to win a fully funded Master's scholarship</t>
        </is>
      </c>
      <c r="B2" t="inlineStr">
        <is>
          <t>2026-11-20</t>
        </is>
      </c>
      <c r="C2" t="inlineStr">
        <is>
          <t>7:00 PM (Germany time)</t>
        </is>
      </c>
      <c r="D2" t="inlineStr">
        <is>
          <t>Draft</t>
        </is>
      </c>
      <c r="E2" t="inlineStr">
        <is>
          <t>What committees look for, how to write your SOP, live Q&amp;A</t>
        </is>
      </c>
      <c r="F2" t="inlineStr">
        <is>
          <t>Your name</t>
        </is>
      </c>
      <c r="H2" t="inlineStr">
        <is>
          <t>https://forms.gle/your-registration-form</t>
        </is>
      </c>
      <c r="J2" t="inlineStr">
        <is>
          <t>images/seminar-1.jpg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44" customWidth="1" min="3" max="3"/>
    <col width="70" customWidth="1" min="4" max="4"/>
    <col width="30" customWidth="1" min="5" max="5"/>
    <col width="18" customWidth="1" min="6" max="6"/>
  </cols>
  <sheetData>
    <row r="1">
      <c r="A1" s="2" t="inlineStr">
        <is>
          <t>Date</t>
        </is>
      </c>
      <c r="B1" s="2" t="inlineStr">
        <is>
          <t>Category</t>
        </is>
      </c>
      <c r="C1" s="2" t="inlineStr">
        <is>
          <t>Title</t>
        </is>
      </c>
      <c r="D1" s="2" t="inlineStr">
        <is>
          <t>Summary</t>
        </is>
      </c>
      <c r="E1" s="2" t="inlineStr">
        <is>
          <t>Link</t>
        </is>
      </c>
      <c r="F1" s="2" t="inlineStr">
        <is>
          <t>Pinned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34" customWidth="1" min="1" max="1"/>
    <col width="40" customWidth="1" min="2" max="2"/>
    <col width="60" customWidth="1" min="3" max="3"/>
    <col width="18" customWidth="1" min="4" max="4"/>
  </cols>
  <sheetData>
    <row r="1">
      <c r="A1" s="2" t="inlineStr">
        <is>
          <t>YouTube</t>
        </is>
      </c>
      <c r="B1" s="2" t="inlineStr">
        <is>
          <t>Title</t>
        </is>
      </c>
      <c r="C1" s="2" t="inlineStr">
        <is>
          <t>Description</t>
        </is>
      </c>
      <c r="D1" s="2" t="inlineStr">
        <is>
          <t>Category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0" customWidth="1" min="3" max="3"/>
    <col width="80" customWidth="1" min="4" max="4"/>
    <col width="18" customWidth="1" min="5" max="5"/>
    <col width="18" customWidth="1" min="6" max="6"/>
    <col width="18" customWidth="1" min="7" max="7"/>
  </cols>
  <sheetData>
    <row r="1">
      <c r="A1" s="2" t="inlineStr">
        <is>
          <t>Name</t>
        </is>
      </c>
      <c r="B1" s="2" t="inlineStr">
        <is>
          <t>Country</t>
        </is>
      </c>
      <c r="C1" s="2" t="inlineStr">
        <is>
          <t>Result</t>
        </is>
      </c>
      <c r="D1" s="2" t="inlineStr">
        <is>
          <t>Review</t>
        </is>
      </c>
      <c r="E1" s="2" t="inlineStr">
        <is>
          <t>Rating</t>
        </is>
      </c>
      <c r="F1" s="2" t="inlineStr">
        <is>
          <t>Photo</t>
        </is>
      </c>
      <c r="G1" s="2" t="inlineStr">
        <is>
          <t>Approved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32" customWidth="1" min="1" max="1"/>
    <col width="18" customWidth="1" min="2" max="2"/>
    <col width="18" customWidth="1" min="3" max="3"/>
    <col width="70" customWidth="1" min="4" max="4"/>
    <col width="18" customWidth="1" min="5" max="5"/>
  </cols>
  <sheetData>
    <row r="1">
      <c r="A1" s="2" t="inlineStr">
        <is>
          <t>Field</t>
        </is>
      </c>
      <c r="B1" s="2" t="inlineStr">
        <is>
          <t>Name</t>
        </is>
      </c>
      <c r="C1" s="2" t="inlineStr">
        <is>
          <t>Role</t>
        </is>
      </c>
      <c r="D1" s="2" t="inlineStr">
        <is>
          <t>About</t>
        </is>
      </c>
      <c r="E1" s="2" t="inlineStr">
        <is>
          <t>Photo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30" customWidth="1" min="3" max="3"/>
    <col width="60" customWidth="1" min="4" max="4"/>
    <col width="40" customWidth="1" min="5" max="5"/>
    <col width="60" customWidth="1" min="6" max="6"/>
    <col width="16" customWidth="1" min="7" max="7"/>
  </cols>
  <sheetData>
    <row r="1">
      <c r="A1" s="2" t="inlineStr">
        <is>
          <t>Country</t>
        </is>
      </c>
      <c r="B1" s="2" t="inlineStr">
        <is>
          <t>Visa type</t>
        </is>
      </c>
      <c r="C1" s="2" t="inlineStr">
        <is>
          <t>Processing time</t>
        </is>
      </c>
      <c r="D1" s="2" t="inlineStr">
        <is>
          <t>Key documents</t>
        </is>
      </c>
      <c r="E1" s="2" t="inlineStr">
        <is>
          <t>Official link</t>
        </is>
      </c>
      <c r="F1" s="2" t="inlineStr">
        <is>
          <t>Notes</t>
        </is>
      </c>
      <c r="G1" s="2" t="inlineStr">
        <is>
          <t>Last checked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80" customWidth="1" min="3" max="3"/>
  </cols>
  <sheetData>
    <row r="1">
      <c r="A1" s="2" t="inlineStr">
        <is>
          <t>Key</t>
        </is>
      </c>
      <c r="B1" s="2" t="inlineStr">
        <is>
          <t>Value</t>
        </is>
      </c>
      <c r="C1" s="2" t="inlineStr">
        <is>
          <t>Notes</t>
        </is>
      </c>
    </row>
    <row r="2">
      <c r="A2" t="inlineStr">
        <is>
          <t>students_base</t>
        </is>
      </c>
      <c r="B2" t="n">
        <v>3000</v>
      </c>
      <c r="C2" t="inlineStr">
        <is>
          <t>Students already guided. The website adds +1 per submitted form (needs the email script).</t>
        </is>
      </c>
    </row>
    <row r="3">
      <c r="A3" t="inlineStr">
        <is>
          <t>seminars_held</t>
        </is>
      </c>
      <c r="C3" t="inlineStr">
        <is>
          <t>Free seminars held so far (optional)</t>
        </is>
      </c>
    </row>
    <row r="4">
      <c r="A4" t="inlineStr">
        <is>
          <t>years_experience</t>
        </is>
      </c>
      <c r="C4" t="inlineStr">
        <is>
          <t>e.g. 5 (shown only if filled)</t>
        </is>
      </c>
    </row>
    <row r="5">
      <c r="A5" t="inlineStr">
        <is>
          <t>whatsapp</t>
        </is>
      </c>
      <c r="B5" t="inlineStr">
        <is>
          <t>4915214232206</t>
        </is>
      </c>
      <c r="C5" t="inlineStr">
        <is>
          <t>Digits only with country code</t>
        </is>
      </c>
    </row>
    <row r="6">
      <c r="A6" t="inlineStr">
        <is>
          <t>youtube_channel</t>
        </is>
      </c>
      <c r="C6" t="inlineStr">
        <is>
          <t>Your channel link</t>
        </is>
      </c>
    </row>
    <row r="7">
      <c r="A7" t="inlineStr">
        <is>
          <t>default_video</t>
        </is>
      </c>
      <c r="C7" t="inlineStr">
        <is>
          <t>General "how to apply" video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2026-10-17T07:57:11Z</dcterms:created>
  <dcterms:modified xmlns:dcterms="http://purl.org/dc/terms/" xmlns:xsi="http://www.w3.org/2001/XMLSchema-instance" xsi:type="dcterms:W3CDTF">2026-10-17T12:52:32Z</dcterms:modified>
</cp:coreProperties>
</file>