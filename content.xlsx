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1856" tabRatio="600" firstSheet="0" activeTab="1" autoFilterDateGrouping="1"/>
  </bookViews>
  <sheets>
    <sheet xmlns:r="http://schemas.openxmlformats.org/officeDocument/2006/relationships" name="READ ME FIRST" sheetId="1" state="visible" r:id="rId1"/>
    <sheet xmlns:r="http://schemas.openxmlformats.org/officeDocument/2006/relationships" name="Opportunities" sheetId="2" state="visible" r:id="rId2"/>
    <sheet xmlns:r="http://schemas.openxmlformats.org/officeDocument/2006/relationships" name="Seminars" sheetId="3" state="visible" r:id="rId3"/>
    <sheet xmlns:r="http://schemas.openxmlformats.org/officeDocument/2006/relationships" name="News" sheetId="4" state="visible" r:id="rId4"/>
    <sheet xmlns:r="http://schemas.openxmlformats.org/officeDocument/2006/relationships" name="Videos" sheetId="5" state="visible" r:id="rId5"/>
    <sheet xmlns:r="http://schemas.openxmlformats.org/officeDocument/2006/relationships" name="Reviews" sheetId="6" state="visible" r:id="rId6"/>
    <sheet xmlns:r="http://schemas.openxmlformats.org/officeDocument/2006/relationships" name="Materials" sheetId="7" state="visible" r:id="rId7"/>
    <sheet xmlns:r="http://schemas.openxmlformats.org/officeDocument/2006/relationships" name="Experts" sheetId="8" state="visible" r:id="rId8"/>
    <sheet xmlns:r="http://schemas.openxmlformats.org/officeDocument/2006/relationships" name="Visa" sheetId="9" state="visible" r:id="rId9"/>
    <sheet xmlns:r="http://schemas.openxmlformats.org/officeDocument/2006/relationships" name="Settings" sheetId="10" state="visible" r:id="rId10"/>
  </sheets>
  <definedNames/>
  <calcPr calcId="162913"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name val="Calibri"/>
      <b val="1"/>
      <color rgb="FF0B1B34"/>
      <sz val="16"/>
    </font>
    <font>
      <name val="Calibri"/>
      <b val="1"/>
      <color rgb="FFFFFFFF"/>
      <sz val="11"/>
    </font>
  </fonts>
  <fills count="3">
    <fill>
      <patternFill/>
    </fill>
    <fill>
      <patternFill patternType="gray125"/>
    </fill>
    <fill>
      <patternFill patternType="solid">
        <fgColor rgb="FF0B1B3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pivotButton="0" quotePrefix="0" xfId="0"/>
    <xf numFmtId="14" fontId="0" fillId="0" borderId="0" pivotButton="0" quotePrefix="0" xfId="0"/>
  </cellXfs>
  <cellStyles count="1">
    <cellStyle name="Normal" xfId="0" builtinId="0"/>
  </cellStyles>
  <dxfs count="1">
    <dxf>
      <font>
        <b val="1"/>
        <color rgb="FF9B1C1C"/>
      </font>
      <fill>
        <patternFill patternType="solid">
          <fgColor rgb="FFF8B4B4"/>
          <bgColor rgb="FFF8B4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4.4"/>
  <cols>
    <col width="150" customWidth="1" min="1" max="1"/>
  </cols>
  <sheetData>
    <row r="1" ht="21" customHeight="1">
      <c r="A1" s="1" t="inlineStr">
        <is>
          <t>UNIPILOT GLOBAL: your website's content file</t>
        </is>
      </c>
    </row>
    <row r="2"/>
    <row r="3">
      <c r="A3" t="inlineStr">
        <is>
          <t>HOW IT WORKS WITH GITHUB</t>
        </is>
      </c>
    </row>
    <row r="4">
      <c r="A4" t="inlineStr">
        <is>
          <t>This Excel file lives in your website's main folder on GitHub (content.xlsx).</t>
        </is>
      </c>
    </row>
    <row r="5">
      <c r="A5" t="inlineStr">
        <is>
          <t>Edit it on your computer, then upload it to GitHub again (replace the old file). The website reads it automatically, so everything you changed goes live in a few minutes. No coding.</t>
        </is>
      </c>
    </row>
    <row r="6"/>
    <row r="7">
      <c r="A7" t="inlineStr">
        <is>
          <t>ADD A NEW SCHOLARSHIP OR INTERNSHIP</t>
        </is>
      </c>
    </row>
    <row r="8">
      <c r="A8" t="inlineStr">
        <is>
          <t>1. Open the tab 'Opportunities'. Scroll to the first empty row.</t>
        </is>
      </c>
    </row>
    <row r="9">
      <c r="A9" t="inlineStr">
        <is>
          <t>2. Fill: Type (Scholarship or Internship), Name, Sponsor, Region, Levels, Award, Deadline, Eligibility.</t>
        </is>
      </c>
    </row>
    <row r="10">
      <c r="A10" t="inlineStr">
        <is>
          <t>3. Optional but powerful: YouTube (video link), Expert tips (separate tips with the | symbol), Price, Official link, Added on (today's date).</t>
        </is>
      </c>
    </row>
    <row r="11">
      <c r="A11" t="inlineStr">
        <is>
          <t>4. Leave Subjects, Host countries and Tags empty if unsure. The website works them out from the text.</t>
        </is>
      </c>
    </row>
    <row r="12">
      <c r="A12" t="inlineStr">
        <is>
          <t>5. Save the file and upload it to GitHub (data folder, replace content.xlsx).</t>
        </is>
      </c>
    </row>
    <row r="13"/>
    <row r="14">
      <c r="A14" t="inlineStr">
        <is>
          <t>SAME NAME TWICE? The website keeps ONE card per name. If you add a scholarship whose Name already exists, the newer row updates the older one (filled cells replace old ones, and Levels are combined).</t>
        </is>
      </c>
    </row>
    <row r="15">
      <c r="A15" t="inlineStr">
        <is>
          <t>The last column 'Duplicate?' and a red Name cell warn you when a name appears twice.</t>
        </is>
      </c>
    </row>
    <row r="16"/>
    <row r="17">
      <c r="A17" t="inlineStr">
        <is>
          <t>CLOSE OR HIDE: Status = Closed (stays, marked Closed) or Hidden (removed from the site). FEATURE: Featured = Yes.</t>
        </is>
      </c>
    </row>
    <row r="18"/>
    <row r="19">
      <c r="A19" t="inlineStr">
        <is>
          <t>OTHER TABS</t>
        </is>
      </c>
    </row>
    <row r="20">
      <c r="A20" t="inlineStr">
        <is>
          <t>Seminars: add each free seminar. Status = Upcoming, Past or Draft (Draft is not shown). Add a Cover photo (see the tab).</t>
        </is>
      </c>
    </row>
    <row r="21">
      <c r="A21" t="inlineStr">
        <is>
          <t>News: headline, category, summary. Pinned = Yes keeps it on top.</t>
        </is>
      </c>
    </row>
    <row r="22">
      <c r="A22" t="inlineStr">
        <is>
          <t>Videos: YouTube links for free guides.</t>
        </is>
      </c>
    </row>
    <row r="23">
      <c r="A23" t="inlineStr">
        <is>
          <t>Reviews: ONLY real student reviews you approved. Approved = Yes shows it on the website.</t>
        </is>
      </c>
    </row>
    <row r="24">
      <c r="A24" t="inlineStr">
        <is>
          <t>Experts: your field experts (Field, Name, Role, About, Photo).  Visa: add a country guide (Country, Visa type, Processing time as shown on the official site, Key documents separated by |, Official link, Notes, Last checked). Countries you add appear in the Visa &amp; Travel page.</t>
        </is>
      </c>
    </row>
    <row r="25">
      <c r="A25" t="inlineStr">
        <is>
          <t>Settings: WhatsApp, counter start (3000), years of experience, etc.</t>
        </is>
      </c>
    </row>
    <row r="26"/>
    <row r="27">
      <c r="A27" t="inlineStr">
        <is>
          <t>FORMATS: Levels: Bachelor | Master | PhD | Master, PhD.  Funding: Full | Stipend | Partial.  Documents: separate with |  e.g. Transcript | CV | 2 reference letters.  Dates: 2026-11-15 or a normal Excel date.</t>
        </is>
      </c>
    </row>
    <row r="29">
      <c r="A29" t="inlineStr">
        <is>
          <t>NEW: MATERIALS TAB</t>
        </is>
      </c>
    </row>
    <row r="30">
      <c r="A30" t="inlineStr">
        <is>
          <t>Free guides, templates and checklists. Columns: Title, Type, Description, Link (Google Drive share link or YouTube), Related scholarships (All, or scholarship names separated by |), Category, Added on, Featured, Status (Published to show).</t>
        </is>
      </c>
    </row>
    <row r="31">
      <c r="A31" t="inlineStr">
        <is>
          <t>IMAGES: put the picture in the website images folder, then write images/filename.jpg in the Cover photo or Photo cell (Seminars, Reviews, Experts).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400"/>
  <sheetViews>
    <sheetView tabSelected="1" workbookViewId="0">
      <pane xSplit="2" ySplit="1" topLeftCell="C98" activePane="bottomRight" state="frozen"/>
      <selection pane="topRight" activeCell="A1" sqref="A1"/>
      <selection pane="bottomLeft" activeCell="A1" sqref="A1"/>
      <selection pane="bottomRight" activeCell="B117" sqref="B117"/>
    </sheetView>
  </sheetViews>
  <sheetFormatPr baseColWidth="8" defaultRowHeight="14.4"/>
  <cols>
    <col width="16" customWidth="1" min="1" max="1"/>
    <col width="18" customWidth="1" min="2" max="4"/>
    <col width="42" customWidth="1" min="5" max="5"/>
    <col width="30" customWidth="1" min="6" max="6"/>
    <col width="18" customWidth="1" min="7" max="7"/>
    <col width="22" customWidth="1" min="8" max="8"/>
    <col width="18" customWidth="1" min="9" max="9"/>
    <col width="26" customWidth="1" min="10" max="10"/>
    <col width="18" customWidth="1" min="11" max="11"/>
    <col width="40" customWidth="1" min="12" max="12"/>
    <col width="28" customWidth="1" min="13" max="13"/>
    <col width="48" customWidth="1" min="14" max="14"/>
    <col width="30" customWidth="1" min="15" max="15"/>
    <col width="32" customWidth="1" min="16" max="16"/>
    <col width="50" customWidth="1" min="17" max="18"/>
    <col width="40" customWidth="1" min="19" max="20"/>
    <col width="50" customWidth="1" min="21" max="21"/>
    <col width="30" customWidth="1" min="22" max="22"/>
    <col width="18" customWidth="1" min="23" max="28"/>
    <col width="14" customWidth="1" min="29" max="29"/>
  </cols>
  <sheetData>
    <row r="1">
      <c r="A1" s="2" t="inlineStr">
        <is>
          <t>ID</t>
        </is>
      </c>
      <c r="B1" s="2" t="inlineStr">
        <is>
          <t>Status</t>
        </is>
      </c>
      <c r="C1" s="2" t="inlineStr">
        <is>
          <t>Featured</t>
        </is>
      </c>
      <c r="D1" s="2" t="inlineStr">
        <is>
          <t>Type</t>
        </is>
      </c>
      <c r="E1" s="2" t="inlineStr">
        <is>
          <t>Name</t>
        </is>
      </c>
      <c r="F1" s="2" t="inlineStr">
        <is>
          <t>Sponsor</t>
        </is>
      </c>
      <c r="G1" s="2" t="inlineStr">
        <is>
          <t>Region</t>
        </is>
      </c>
      <c r="H1" s="2" t="inlineStr">
        <is>
          <t>Host countries</t>
        </is>
      </c>
      <c r="I1" s="2" t="inlineStr">
        <is>
          <t>Levels</t>
        </is>
      </c>
      <c r="J1" s="2" t="inlineStr">
        <is>
          <t>Subjects</t>
        </is>
      </c>
      <c r="K1" s="2" t="inlineStr">
        <is>
          <t>Funding</t>
        </is>
      </c>
      <c r="L1" s="2" t="inlineStr">
        <is>
          <t>Award</t>
        </is>
      </c>
      <c r="M1" s="2" t="inlineStr">
        <is>
          <t>Deadline</t>
        </is>
      </c>
      <c r="N1" s="2" t="inlineStr">
        <is>
          <t>Eligibility</t>
        </is>
      </c>
      <c r="O1" s="2" t="inlineStr">
        <is>
          <t>Effort</t>
        </is>
      </c>
      <c r="P1" s="2" t="inlineStr">
        <is>
          <t>Best for</t>
        </is>
      </c>
      <c r="Q1" s="2" t="inlineStr">
        <is>
          <t>Description</t>
        </is>
      </c>
      <c r="R1" s="2" t="inlineStr">
        <is>
          <t>Documents</t>
        </is>
      </c>
      <c r="S1" s="2" t="inlineStr">
        <is>
          <t>Selection</t>
        </is>
      </c>
      <c r="T1" s="2" t="inlineStr">
        <is>
          <t>Winners</t>
        </is>
      </c>
      <c r="U1" s="2" t="inlineStr">
        <is>
          <t>Expert tips</t>
        </is>
      </c>
      <c r="V1" s="2" t="inlineStr">
        <is>
          <t>Official link</t>
        </is>
      </c>
      <c r="W1" s="2" t="inlineStr">
        <is>
          <t>YouTube</t>
        </is>
      </c>
      <c r="X1" s="2" t="inlineStr">
        <is>
          <t>Price</t>
        </is>
      </c>
      <c r="Y1" s="2" t="inlineStr">
        <is>
          <t>Pay link</t>
        </is>
      </c>
      <c r="Z1" s="2" t="inlineStr">
        <is>
          <t>Tags</t>
        </is>
      </c>
      <c r="AA1" s="2" t="inlineStr">
        <is>
          <t>Added on</t>
        </is>
      </c>
      <c r="AB1" s="2" t="inlineStr">
        <is>
          <t>Verified on</t>
        </is>
      </c>
      <c r="AC1" s="2" t="inlineStr">
        <is>
          <t>Duplicate?</t>
        </is>
      </c>
    </row>
    <row r="2" ht="244.8" customHeight="1">
      <c r="A2" s="3" t="inlineStr">
        <is>
          <t>mastercard-foundation-scholars-program-bachelor</t>
        </is>
      </c>
      <c r="B2" s="3" t="inlineStr">
        <is>
          <t>Open</t>
        </is>
      </c>
      <c r="C2" s="3" t="n"/>
      <c r="D2" s="3" t="inlineStr">
        <is>
          <t>Scholarship</t>
        </is>
      </c>
      <c r="E2" s="3" t="inlineStr">
        <is>
          <t>Mastercard Foundation Scholars Program</t>
        </is>
      </c>
      <c r="F2" s="3" t="inlineStr">
        <is>
          <t>Mastercard Foundation &amp; Partner Universities: UCT, Ashesi, Makerere, KNUST, ALU, USIU-Africa</t>
        </is>
      </c>
      <c r="G2" s="3" t="inlineStr">
        <is>
          <t>Africa</t>
        </is>
      </c>
      <c r="H2" s="3" t="inlineStr">
        <is>
          <t>South Africa, Ghana, Uganda, Kenya</t>
        </is>
      </c>
      <c r="I2" s="3" t="inlineStr">
        <is>
          <t>Bachelor</t>
        </is>
      </c>
      <c r="J2" s="3" t="inlineStr">
        <is>
          <t>All fields</t>
        </is>
      </c>
      <c r="K2" s="3" t="inlineStr">
        <is>
          <t>Full</t>
        </is>
      </c>
      <c r="L2" s="3" t="inlineStr">
        <is>
          <t>Full Ride (100% Tuition, Housing, Stipend, Laptop, Books, Return Flights)</t>
        </is>
      </c>
      <c r="M2" s="3" t="inlineStr">
        <is>
          <t>Sep 30 – Nov 15, 2026 (Varies by host campus; e.g., UCT Undergrad: Sep 30; US/Global partners: Nov 15)</t>
        </is>
      </c>
      <c r="N2" s="3" t="inlineStr">
        <is>
          <t>African citizen; top 10% High School GPA; demonstrated high financial need; strong community leadership; typically under 29.</t>
        </is>
      </c>
      <c r="O2" s="3" t="inlineStr">
        <is>
          <t>High: Transcript + 2 Recommendation Letters + 3 Leadership/Impact Essays + Financial Need Proof</t>
        </is>
      </c>
      <c r="P2" s="3" t="inlineStr">
        <is>
          <t>Low-Income, First-Gen, High-GPA Community Leaders</t>
        </is>
      </c>
      <c r="Q2" s="3" t="inlineStr">
        <is>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is>
      </c>
      <c r="R2" s="3" t="inlineStr">
        <is>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is>
      </c>
      <c r="S2" s="3" t="n"/>
      <c r="T2" s="3" t="n"/>
      <c r="U2" s="3" t="n"/>
      <c r="V2" s="3" t="inlineStr">
        <is>
          <t>https://mastercardfdn.org/all/scholars/becoming-a-scholar/</t>
        </is>
      </c>
      <c r="W2" s="3" t="n"/>
      <c r="X2" s="3" t="n"/>
      <c r="Y2" s="3" t="n"/>
      <c r="Z2" s="3" t="inlineStr">
        <is>
          <t>Need-based</t>
        </is>
      </c>
      <c r="AA2" s="4" t="n"/>
      <c r="AB2" s="4" t="n"/>
      <c r="AC2" s="3">
        <f>IF(AND(E2&lt;&gt;"",COUNTIF($E$2:$E$800,E2)&gt;1),"DUPLICATE","")</f>
        <v/>
      </c>
    </row>
    <row r="3" ht="230.4" customHeight="1">
      <c r="A3" s="3" t="inlineStr">
        <is>
          <t>mauritius-africa-scholarship-scheme-mass-bachelor</t>
        </is>
      </c>
      <c r="B3" s="3" t="inlineStr">
        <is>
          <t>Open</t>
        </is>
      </c>
      <c r="C3" s="3" t="n"/>
      <c r="D3" s="3" t="inlineStr">
        <is>
          <t>Scholarship</t>
        </is>
      </c>
      <c r="E3" s="3" t="inlineStr">
        <is>
          <t>Mauritius–Africa Scholarship Scheme (MASS)</t>
        </is>
      </c>
      <c r="F3" s="3" t="inlineStr">
        <is>
          <t>Government of Mauritius</t>
        </is>
      </c>
      <c r="G3" s="3" t="inlineStr">
        <is>
          <t>Africa</t>
        </is>
      </c>
      <c r="H3" s="3" t="inlineStr">
        <is>
          <t>Mauritius</t>
        </is>
      </c>
      <c r="I3" s="3" t="inlineStr">
        <is>
          <t>Bachelor</t>
        </is>
      </c>
      <c r="J3" s="3" t="inlineStr">
        <is>
          <t>All fields</t>
        </is>
      </c>
      <c r="K3" s="3" t="inlineStr">
        <is>
          <t>Full</t>
        </is>
      </c>
      <c r="L3" s="3" t="inlineStr">
        <is>
          <t>Full Tuition + Living Stipend + Airfare (Up to MUR 100,000 tuition + MUR 16,500/mo stipend)</t>
        </is>
      </c>
      <c r="M3" s="3" t="inlineStr">
        <is>
          <t>Mar 27 (Annual cycle for 2026/2027 intake)</t>
        </is>
      </c>
      <c r="N3" s="3" t="inlineStr">
        <is>
          <t>Citizen of AU or African Commonwealth state; age above 18 and under 26 by Jan 1; minimum 60% average (12/20) or 21 GCE A-Level points; all majors.</t>
        </is>
      </c>
      <c r="O3" s="3" t="inlineStr">
        <is>
          <t>Medium: University Conditional Offer + Transcript + Home Ministry Nomination Form</t>
        </is>
      </c>
      <c r="P3" s="3" t="inlineStr">
        <is>
          <t>High School Seniors with 65%+ Grades Seeking Public University Degrees</t>
        </is>
      </c>
      <c r="Q3" s="3" t="inlineStr">
        <is>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is>
      </c>
      <c r="R3" s="3" t="inlineStr">
        <is>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is>
      </c>
      <c r="S3" s="3" t="inlineStr">
        <is>
          <t>Home Country Ministry Shortlisting (nominates up to 15 candidates per country) → Mauritian Ministry Verification of Academic Merit, Age Compliance (under 26 for Undergrad; under 40 for PhD), and Public University Seat Availability.</t>
        </is>
      </c>
      <c r="T3" s="3" t="inlineStr">
        <is>
          <t>Disciplined students who apply to the University of Mauritius early in January/February, obtain their application acknowledgment receipt, and hand-deliver their dossier to their local Ministry of Education scholarship desk before the March deadline.</t>
        </is>
      </c>
      <c r="U3" s="3" t="n"/>
      <c r="V3" s="3" t="inlineStr">
        <is>
          <t>https://highereducationmauritius.com/scholarships-for-foreign-students/</t>
        </is>
      </c>
      <c r="W3" s="3" t="n"/>
      <c r="X3" s="3" t="n"/>
      <c r="Y3" s="3" t="n"/>
      <c r="Z3" s="3" t="n"/>
      <c r="AA3" s="4" t="n"/>
      <c r="AB3" s="4" t="n"/>
      <c r="AC3" s="3">
        <f>IF(AND(E3&lt;&gt;"",COUNTIF($E$2:$E$800,E3)&gt;1),"DUPLICATE","")</f>
        <v/>
      </c>
    </row>
    <row r="4" ht="86.40000000000001" customHeight="1">
      <c r="A4" s="3" t="inlineStr">
        <is>
          <t>amci-moroccan-government-bilateral-scholarship-bachelor</t>
        </is>
      </c>
      <c r="B4" s="3" t="inlineStr">
        <is>
          <t>Open</t>
        </is>
      </c>
      <c r="C4" s="3" t="n"/>
      <c r="D4" s="3" t="inlineStr">
        <is>
          <t>Scholarship</t>
        </is>
      </c>
      <c r="E4" s="3" t="inlineStr">
        <is>
          <t>AMCI Moroccan Government Bilateral Scholarship</t>
        </is>
      </c>
      <c r="F4" s="3" t="inlineStr">
        <is>
          <t>Moroccan Agency for International Cooperation</t>
        </is>
      </c>
      <c r="G4" s="3" t="inlineStr">
        <is>
          <t>Africa</t>
        </is>
      </c>
      <c r="H4" s="3" t="inlineStr">
        <is>
          <t>Morocco, France</t>
        </is>
      </c>
      <c r="I4" s="3" t="inlineStr">
        <is>
          <t>Bachelor</t>
        </is>
      </c>
      <c r="J4" s="3" t="inlineStr">
        <is>
          <t>Engineering &amp; Technology, Health &amp; Life Sciences, Agriculture &amp; Food Security, Business, Economics &amp; Management, Architecture, Arts &amp; Design</t>
        </is>
      </c>
      <c r="K4" s="3" t="inlineStr">
        <is>
          <t>Full</t>
        </is>
      </c>
      <c r="L4" s="3" t="inlineStr">
        <is>
          <t>Full Public Tuition + Housing/Meals Subsidy + Stipend + 1-Yr French Prep</t>
        </is>
      </c>
      <c r="M4" s="3" t="inlineStr">
        <is>
          <t>May 15 – Aug 30 (Announced via Home Country Ministry of Education)</t>
        </is>
      </c>
      <c r="N4" s="3" t="inlineStr">
        <is>
          <t>African citizen; High School Diploma with Distinction/Good standing; age 18–23; Medicine, Engineering, Agronomy, Architecture, Economics.</t>
        </is>
      </c>
      <c r="O4" s="3" t="inlineStr">
        <is>
          <t>Low–Medium: No Essay (Transcript + Medical Certificate + Ministry Nomination Form)</t>
        </is>
      </c>
      <c r="P4" s="3" t="inlineStr">
        <is>
          <t>STEM/Medical Undergrads Open to Studying in French</t>
        </is>
      </c>
      <c r="Q4" s="3" t="n"/>
      <c r="R4" s="3" t="n"/>
      <c r="S4" s="3" t="n"/>
      <c r="T4" s="3" t="n"/>
      <c r="U4" s="3" t="n"/>
      <c r="V4" s="3" t="n"/>
      <c r="W4" s="3" t="n"/>
      <c r="X4" s="3" t="n"/>
      <c r="Y4" s="3" t="n"/>
      <c r="Z4" s="3" t="inlineStr">
        <is>
          <t>STEM</t>
        </is>
      </c>
      <c r="AA4" s="4" t="n"/>
      <c r="AB4" s="4" t="n"/>
      <c r="AC4" s="3">
        <f>IF(AND(E4&lt;&gt;"",COUNTIF($E$2:$E$800,E4)&gt;1),"DUPLICATE","")</f>
        <v/>
      </c>
    </row>
    <row r="5" ht="72" customHeight="1">
      <c r="A5" s="3" t="inlineStr">
        <is>
          <t>auc-excellence-mepi-tomorrow-s-leaders-undergraduate-scholar</t>
        </is>
      </c>
      <c r="B5" s="3" t="inlineStr">
        <is>
          <t>Open</t>
        </is>
      </c>
      <c r="C5" s="3" t="n"/>
      <c r="D5" s="3" t="inlineStr">
        <is>
          <t>Scholarship</t>
        </is>
      </c>
      <c r="E5" s="3" t="inlineStr">
        <is>
          <t>AUC Excellence &amp; MEPI Tomorrow’s Leaders Undergraduate Scholarships</t>
        </is>
      </c>
      <c r="F5" s="3" t="inlineStr">
        <is>
          <t>American University in Cairo &amp; US Dept. of State</t>
        </is>
      </c>
      <c r="G5" s="3" t="inlineStr">
        <is>
          <t>Africa</t>
        </is>
      </c>
      <c r="H5" s="3" t="inlineStr">
        <is>
          <t>Egypt, United States</t>
        </is>
      </c>
      <c r="I5" s="3" t="inlineStr">
        <is>
          <t>Bachelor</t>
        </is>
      </c>
      <c r="J5" s="3" t="inlineStr">
        <is>
          <t>All fields</t>
        </is>
      </c>
      <c r="K5" s="3" t="inlineStr">
        <is>
          <t>Full</t>
        </is>
      </c>
      <c r="L5" s="3" t="inlineStr">
        <is>
          <t>30% to 100% Tuition (MEPI is Full Ride: Tuition, Housing, Stipend, Travel)</t>
        </is>
      </c>
      <c r="M5" s="3" t="inlineStr">
        <is>
          <t>Dec 1 – Jun 1 (Varies by Fall/Spring intake &amp; donor track)</t>
        </is>
      </c>
      <c r="N5" s="3" t="inlineStr">
        <is>
          <t>High School GPA greater than 85%–90% (or IB/A-Level equivalent); IELTS/TOEFL required; demonstrated leadership &amp; financial need (for MEPI/Donor awards).</t>
        </is>
      </c>
      <c r="O5" s="3" t="inlineStr">
        <is>
          <t>Medium: Transcript + Short Personal Statement + Financial Aid Form + Extracurricular Portfolio</t>
        </is>
      </c>
      <c r="P5" s="3" t="inlineStr">
        <is>
          <t>North/Sub-Saharan African Students Seeking US-Accredited Liberal Arts/STEM</t>
        </is>
      </c>
      <c r="Q5" s="3" t="n"/>
      <c r="R5" s="3" t="n"/>
      <c r="S5" s="3" t="n"/>
      <c r="T5" s="3" t="n"/>
      <c r="U5" s="3" t="n"/>
      <c r="V5" s="3" t="n"/>
      <c r="W5" s="3" t="n"/>
      <c r="X5" s="3" t="n"/>
      <c r="Y5" s="3" t="n"/>
      <c r="Z5" s="3" t="inlineStr">
        <is>
          <t>Need-based</t>
        </is>
      </c>
      <c r="AA5" s="4" t="n"/>
      <c r="AB5" s="4" t="n"/>
      <c r="AC5" s="3">
        <f>IF(AND(E5&lt;&gt;"",COUNTIF($E$2:$E$800,E5)&gt;1),"DUPLICATE","")</f>
        <v/>
      </c>
    </row>
    <row r="6" ht="57.6" customHeight="1">
      <c r="A6" s="3" t="inlineStr">
        <is>
          <t>waaw-foundation-undergraduate-stem-scholarship-bachelor</t>
        </is>
      </c>
      <c r="B6" s="3" t="inlineStr">
        <is>
          <t>Open</t>
        </is>
      </c>
      <c r="C6" s="3" t="n"/>
      <c r="D6" s="3" t="inlineStr">
        <is>
          <t>Scholarship</t>
        </is>
      </c>
      <c r="E6" s="3" t="inlineStr">
        <is>
          <t>WAAW Foundation Undergraduate STEM Scholarship</t>
        </is>
      </c>
      <c r="F6" s="3" t="inlineStr">
        <is>
          <t>Working to Advance African Women</t>
        </is>
      </c>
      <c r="G6" s="3" t="inlineStr">
        <is>
          <t>Africa</t>
        </is>
      </c>
      <c r="H6" s="3" t="n"/>
      <c r="I6" s="3" t="inlineStr">
        <is>
          <t>Bachelor</t>
        </is>
      </c>
      <c r="J6" s="3" t="inlineStr">
        <is>
          <t>Mathematics &amp; Natural Sciences</t>
        </is>
      </c>
      <c r="K6" s="3" t="inlineStr">
        <is>
          <t>Partial</t>
        </is>
      </c>
      <c r="L6" s="3" t="inlineStr">
        <is>
          <t>$500 One-Time / Annual Grant (Need-based textbook &amp; tuition support)</t>
        </is>
      </c>
      <c r="M6" s="3" t="inlineStr">
        <is>
          <t>Nov 15 – Dec 1 (Annual cycle)</t>
        </is>
      </c>
      <c r="N6" s="3" t="inlineStr">
        <is>
          <t>Female African citizen currently enrolled in Year 1–3 of a Bachelor’s degree at an African university; studying a STEM major; GPA greater than 3.0/4.0; financial need.</t>
        </is>
      </c>
      <c r="O6" s="3" t="inlineStr">
        <is>
          <t>Medium: Short Essays + Transcript + 2 Reference Letters</t>
        </is>
      </c>
      <c r="P6" s="3" t="inlineStr">
        <is>
          <t>Female Undergraduates in STEM at African Universities</t>
        </is>
      </c>
      <c r="Q6" s="3" t="n"/>
      <c r="R6" s="3" t="n"/>
      <c r="S6" s="3" t="n"/>
      <c r="T6" s="3" t="n"/>
      <c r="U6" s="3" t="n"/>
      <c r="V6" s="3" t="n"/>
      <c r="W6" s="3" t="n"/>
      <c r="X6" s="3" t="n"/>
      <c r="Y6" s="3" t="n"/>
      <c r="Z6" s="3" t="inlineStr">
        <is>
          <t>Women, STEM, Need-based</t>
        </is>
      </c>
      <c r="AA6" s="4" t="n"/>
      <c r="AB6" s="4" t="n"/>
      <c r="AC6" s="3">
        <f>IF(AND(E6&lt;&gt;"",COUNTIF($E$2:$E$800,E6)&gt;1),"DUPLICATE","")</f>
        <v/>
      </c>
    </row>
    <row r="7" ht="230.4" customHeight="1">
      <c r="A7" s="3" t="inlineStr">
        <is>
          <t>pan-african-university-pau-scholarship-master</t>
        </is>
      </c>
      <c r="B7" s="3" t="inlineStr">
        <is>
          <t>Open</t>
        </is>
      </c>
      <c r="C7" s="3" t="n"/>
      <c r="D7" s="3" t="inlineStr">
        <is>
          <t>Scholarship</t>
        </is>
      </c>
      <c r="E7" s="3" t="inlineStr">
        <is>
          <t>Pan African University (PAU) Scholarship</t>
        </is>
      </c>
      <c r="F7" s="3" t="inlineStr">
        <is>
          <t>African Union Commission — Kenya, Nigeria, Cameroon, Algeria hubs</t>
        </is>
      </c>
      <c r="G7" s="3" t="inlineStr">
        <is>
          <t>Africa</t>
        </is>
      </c>
      <c r="H7" s="3" t="inlineStr">
        <is>
          <t>Kenya, Nigeria, Algeria, Cameroon</t>
        </is>
      </c>
      <c r="I7" s="3" t="inlineStr">
        <is>
          <t>Master</t>
        </is>
      </c>
      <c r="J7" s="3" t="inlineStr">
        <is>
          <t>Mathematics &amp; Natural Sciences, Health &amp; Life Sciences, Environment, Water &amp; Energy, Law, Governance &amp; Public Policy</t>
        </is>
      </c>
      <c r="K7" s="3" t="inlineStr">
        <is>
          <t>Full</t>
        </is>
      </c>
      <c r="L7" s="3" t="inlineStr">
        <is>
          <t>Full Ride (100% Tuition, Monthly Stipend, Return Flight, Medical Insurance, Research Grant)</t>
        </is>
      </c>
      <c r="M7" s="3" t="inlineStr">
        <is>
          <t>Nov 15 – Dec 15 (Annual call for following academic year)</t>
        </is>
      </c>
      <c r="N7" s="3" t="inlineStr">
        <is>
          <t>Citizen of AU member state; Under 25 (Male) or Under 28 (Female); Bachelor’s degree with at least Upper Second Class (2:1 / Distinction); STEM, Health, Governance, or Water/Energy.</t>
        </is>
      </c>
      <c r="O7" s="3" t="inlineStr">
        <is>
          <t>Medium: Transcript + National ID/Passport + 3 Referee Contacts (no essay required for Master’s)</t>
        </is>
      </c>
      <c r="P7" s="3" t="inlineStr">
        <is>
          <t>Under-25/28 Graduates with 2:1 or First Class Honours</t>
        </is>
      </c>
      <c r="Q7" s="3" t="inlineStr">
        <is>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is>
      </c>
      <c r="R7" s="3" t="inlineStr">
        <is>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is>
      </c>
      <c r="S7" s="3" t="inlineStr">
        <is>
          <t>Strict Automated Age &amp; Degree Class Filter (Pass/Fail), Academic GPA &amp; Subject Alignment (50%), Research Concept Note Quality for PhDs (30%), Regional &amp; Gender Diversity Quota across AU Member States (20%).</t>
        </is>
      </c>
      <c r="T7" s="3" t="inlineStr">
        <is>
          <t>A 23-year-old B.Sc. Civil Engineering graduate with First Class Honours (GPA 3.7/4.0) from Ghana or Tanzania admitted to PAUSTI (Kenya) or PAUWES (Algeria), or a 27-year-old female Master’s graduate with Distinction researching climate-resilient crops.</t>
        </is>
      </c>
      <c r="U7" s="3" t="n"/>
      <c r="V7" s="3" t="inlineStr">
        <is>
          <t>https://www.au-pau.org/submission/</t>
        </is>
      </c>
      <c r="W7" s="3" t="n"/>
      <c r="X7" s="3" t="n"/>
      <c r="Y7" s="3" t="n"/>
      <c r="Z7" s="3" t="inlineStr">
        <is>
          <t>Women, STEM</t>
        </is>
      </c>
      <c r="AA7" s="4" t="n"/>
      <c r="AB7" s="4" t="n"/>
      <c r="AC7" s="3">
        <f>IF(AND(E7&lt;&gt;"",COUNTIF($E$2:$E$800,E7)&gt;1),"DUPLICATE","")</f>
        <v/>
      </c>
    </row>
    <row r="8" ht="201.6" customHeight="1">
      <c r="A8" s="3" t="inlineStr">
        <is>
          <t>the-mandela-rhodes-scholarship-master</t>
        </is>
      </c>
      <c r="B8" s="3" t="inlineStr">
        <is>
          <t>Open</t>
        </is>
      </c>
      <c r="C8" s="3" t="n"/>
      <c r="D8" s="3" t="inlineStr">
        <is>
          <t>Scholarship</t>
        </is>
      </c>
      <c r="E8" s="3" t="inlineStr">
        <is>
          <t>The Mandela Rhodes Scholarship</t>
        </is>
      </c>
      <c r="F8" s="3" t="inlineStr">
        <is>
          <t>The Mandela Rhodes Foundation — South Africa</t>
        </is>
      </c>
      <c r="G8" s="3" t="inlineStr">
        <is>
          <t>Africa</t>
        </is>
      </c>
      <c r="H8" s="3" t="inlineStr">
        <is>
          <t>South Africa</t>
        </is>
      </c>
      <c r="I8" s="3" t="inlineStr">
        <is>
          <t>Master</t>
        </is>
      </c>
      <c r="J8" s="3" t="inlineStr">
        <is>
          <t>All fields</t>
        </is>
      </c>
      <c r="K8" s="3" t="inlineStr">
        <is>
          <t>Full</t>
        </is>
      </c>
      <c r="L8" s="3" t="inlineStr">
        <is>
          <t>Full Ride + Leadership Residency (Tuition, Housing, Meals, Books, Economy Flights, Stipend)</t>
        </is>
      </c>
      <c r="M8" s="3" t="inlineStr">
        <is>
          <t>Apr 14 (Opens early March annually for next Jan intake)</t>
        </is>
      </c>
      <c r="N8" s="3" t="inlineStr">
        <is>
          <t>Citizen of any of the 55 African countries; Age 19–29; minimum 70% average (GPA 3.0+ / Upper Second Class); applying for Honours or Master’s in any field at a South African university.</t>
        </is>
      </c>
      <c r="O8" s="3" t="inlineStr">
        <is>
          <t>High: Transcript + 3 Detailed Leadership Essays + 3 Recommendation Letters + Multi-Round Interviews</t>
        </is>
      </c>
      <c r="P8" s="3" t="inlineStr">
        <is>
          <t>High-GPA Young African Changemakers (All Majors)</t>
        </is>
      </c>
      <c r="Q8" s="3" t="inlineStr">
        <is>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is>
      </c>
      <c r="R8" s="3" t="inlineStr">
        <is>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is>
      </c>
      <c r="S8" s="3" t="inlineStr">
        <is>
          <t>Four-stage selection (Eligibility Check → Round 1 Application Review → Round 2 Video/Written Assessment in July → Round 3 Panel Interviews in October). Evaluates Academic Excellence (25%), Leadership Potential (25%), Entrepreneurial Spirit (25%), and Commitment to Reconciliation/Humanity (25%).</t>
        </is>
      </c>
      <c r="T8" s="3" t="inlineStr">
        <is>
          <t>Young African intellectuals—from medical doctors and AI engineers to poets, human rights lawyers, and social entrepreneurs—who show deep self-awareness, vulnerability in their personal essays, and a track record of building initiatives that bridge social divides.</t>
        </is>
      </c>
      <c r="U8" s="3" t="n"/>
      <c r="V8" s="3" t="inlineStr">
        <is>
          <t>https://www.mandelarhodes.org/scholarship/apply/</t>
        </is>
      </c>
      <c r="W8" s="3" t="n"/>
      <c r="X8" s="3" t="n"/>
      <c r="Y8" s="3" t="n"/>
      <c r="Z8" s="3" t="n"/>
      <c r="AA8" s="4" t="n"/>
      <c r="AB8" s="4" t="n"/>
      <c r="AC8" s="3">
        <f>IF(AND(E8&lt;&gt;"",COUNTIF($E$2:$E$800,E8)&gt;1),"DUPLICATE","")</f>
        <v/>
      </c>
    </row>
    <row r="9" ht="57.6" customHeight="1">
      <c r="A9" s="3" t="inlineStr">
        <is>
          <t>auc-african-graduate-fellowship-agf-master</t>
        </is>
      </c>
      <c r="B9" s="3" t="inlineStr">
        <is>
          <t>Open</t>
        </is>
      </c>
      <c r="C9" s="3" t="n"/>
      <c r="D9" s="3" t="inlineStr">
        <is>
          <t>Scholarship</t>
        </is>
      </c>
      <c r="E9" s="3" t="inlineStr">
        <is>
          <t>AUC African Graduate Fellowship (AGF)</t>
        </is>
      </c>
      <c r="F9" s="3" t="inlineStr">
        <is>
          <t>The American University in Cairo, Egypt</t>
        </is>
      </c>
      <c r="G9" s="3" t="inlineStr">
        <is>
          <t>Africa</t>
        </is>
      </c>
      <c r="H9" s="3" t="inlineStr">
        <is>
          <t>Egypt</t>
        </is>
      </c>
      <c r="I9" s="3" t="inlineStr">
        <is>
          <t>Master</t>
        </is>
      </c>
      <c r="J9" s="3" t="inlineStr">
        <is>
          <t>All fields</t>
        </is>
      </c>
      <c r="K9" s="3" t="inlineStr">
        <is>
          <t>Full</t>
        </is>
      </c>
      <c r="L9" s="3" t="inlineStr">
        <is>
          <t>Full Ride (Full Tuition for 9 credits/sem, Monthly Stipend, New Cairo Housing, Medical Insurance)</t>
        </is>
      </c>
      <c r="M9" s="3" t="inlineStr">
        <is>
          <t>May 3 – May 6 (Annual Fall intake deadline)</t>
        </is>
      </c>
      <c r="N9" s="3" t="inlineStr">
        <is>
          <t>Non-Egyptian African citizen resident in Africa; Bachelor’s GPA minimum 3.2/4.0; IELTS 6.5 / TOEFL iBT 83; admitted to an AUC Master’s program; 12 hrs/week TA/RA duty.</t>
        </is>
      </c>
      <c r="O9" s="3" t="inlineStr">
        <is>
          <t>Medium–High: AUC Admission Application + Statement of Purpose + 2 Recommendation Letters + IELTS/TOEFL</t>
        </is>
      </c>
      <c r="P9" s="3" t="inlineStr">
        <is>
          <t>African Graduates with 3.2+ GPA Seeking English-Taught Master’s</t>
        </is>
      </c>
      <c r="Q9" s="3" t="n"/>
      <c r="R9" s="3" t="n"/>
      <c r="S9" s="3" t="n"/>
      <c r="T9" s="3" t="n"/>
      <c r="U9" s="3" t="n"/>
      <c r="V9" s="3" t="n"/>
      <c r="W9" s="3" t="n"/>
      <c r="X9" s="3" t="n"/>
      <c r="Y9" s="3" t="n"/>
      <c r="Z9" s="3" t="n"/>
      <c r="AA9" s="4" t="n"/>
      <c r="AB9" s="4" t="n"/>
      <c r="AC9" s="3">
        <f>IF(AND(E9&lt;&gt;"",COUNTIF($E$2:$E$800,E9)&gt;1),"DUPLICATE","")</f>
        <v/>
      </c>
    </row>
    <row r="10" ht="259.2" customHeight="1">
      <c r="A10" s="3" t="inlineStr">
        <is>
          <t>e-just-ticad8-african-scholarships-for-sti-master</t>
        </is>
      </c>
      <c r="B10" s="3" t="inlineStr">
        <is>
          <t>Open</t>
        </is>
      </c>
      <c r="C10" s="3" t="n"/>
      <c r="D10" s="3" t="inlineStr">
        <is>
          <t>Scholarship</t>
        </is>
      </c>
      <c r="E10" s="3" t="inlineStr">
        <is>
          <t>E-JUST TICAD8 African Scholarships for STI</t>
        </is>
      </c>
      <c r="F10" s="3" t="inlineStr">
        <is>
          <t>Egypt-Japan University of Science &amp; Technology &amp; JICA</t>
        </is>
      </c>
      <c r="G10" s="3" t="inlineStr">
        <is>
          <t>Africa</t>
        </is>
      </c>
      <c r="H10" s="3" t="inlineStr">
        <is>
          <t>Egypt, Japan</t>
        </is>
      </c>
      <c r="I10" s="3" t="inlineStr">
        <is>
          <t>Master</t>
        </is>
      </c>
      <c r="J10" s="3" t="inlineStr">
        <is>
          <t>Engineering &amp; Technology, Computer Science, Data &amp; AI, Mathematics &amp; Natural Sciences</t>
        </is>
      </c>
      <c r="K10" s="3" t="inlineStr">
        <is>
          <t>Full</t>
        </is>
      </c>
      <c r="L10" s="3" t="inlineStr">
        <is>
          <t>Full Ride (Full Tuition, Campus Housing, Monthly Stipend, Medical Care, Round-Trip Airfare)</t>
        </is>
      </c>
      <c r="M10" s="3" t="inlineStr">
        <is>
          <t>Feb 15 (Annual Fall intake deadline)</t>
        </is>
      </c>
      <c r="N10" s="3" t="inlineStr">
        <is>
          <t>Non-Egyptian African citizen; Bachelor’s in Engineering, Computer Science, or Basic Applied Sciences; TOEFL 79 / IELTS 6.5 (or Duolingo 125 provisional); preference for Junior University Staff/Researchers.</t>
        </is>
      </c>
      <c r="O10" s="3" t="inlineStr">
        <is>
          <t>High: Research Proposal + Statement of Purpose + Full B.Sc. Graduation Project + 2 Recommendations + Employer Endorsement + Written/Oral Exam</t>
        </is>
      </c>
      <c r="P10" s="3" t="inlineStr">
        <is>
          <t>African Engineering/STEM Graduates &amp; Junior Lecturers</t>
        </is>
      </c>
      <c r="Q10" s="3" t="inlineStr">
        <is>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is>
      </c>
      <c r="R10" s="3" t="inlineStr">
        <is>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is>
      </c>
      <c r="S10" s="3" t="inlineStr">
        <is>
          <t>Document &amp; Transcript Screening → Written Subject Exam + Online Oral Academic Interview (late March/early April) evaluating technical mastery and research feasibility.</t>
        </is>
      </c>
      <c r="T10" s="3" t="inlineStr">
        <is>
          <t>Junior lecturers, assistant researchers, and top-graduating B.Sc./M.Sc. engineers from Kenya, Nigeria, Ethiopia, Uganda, and Ghana who hold an institutional endorsement to return and upgrade their home university's STEM departments.</t>
        </is>
      </c>
      <c r="U10" s="3" t="n"/>
      <c r="V10" s="3" t="inlineStr">
        <is>
          <t>https://www.ejust.edu.eg/int-admission</t>
        </is>
      </c>
      <c r="W10" s="3" t="n"/>
      <c r="X10" s="3" t="n"/>
      <c r="Y10" s="3" t="n"/>
      <c r="Z10" s="3" t="inlineStr">
        <is>
          <t>STEM, Research</t>
        </is>
      </c>
      <c r="AA10" s="4" t="n"/>
      <c r="AB10" s="4" t="n"/>
      <c r="AC10" s="3">
        <f>IF(AND(E10&lt;&gt;"",COUNTIF($E$2:$E$800,E10)&gt;1),"DUPLICATE","")</f>
        <v/>
      </c>
    </row>
    <row r="11" ht="72" customHeight="1">
      <c r="A11" s="3" t="inlineStr">
        <is>
          <t>aims-structured-master-s-ai-for-science-scholarship-master</t>
        </is>
      </c>
      <c r="B11" s="3" t="inlineStr">
        <is>
          <t>Open</t>
        </is>
      </c>
      <c r="C11" s="3" t="n"/>
      <c r="D11" s="3" t="inlineStr">
        <is>
          <t>Scholarship</t>
        </is>
      </c>
      <c r="E11" s="3" t="inlineStr">
        <is>
          <t>AIMS Structured Master’s &amp; AI for Science Scholarship</t>
        </is>
      </c>
      <c r="F11" s="3" t="inlineStr">
        <is>
          <t>African Institute for Mathematical Sciences &amp; Google DeepMind</t>
        </is>
      </c>
      <c r="G11" s="3" t="inlineStr">
        <is>
          <t>Africa</t>
        </is>
      </c>
      <c r="H11" s="3" t="inlineStr">
        <is>
          <t>Rwanda</t>
        </is>
      </c>
      <c r="I11" s="3" t="inlineStr">
        <is>
          <t>Master</t>
        </is>
      </c>
      <c r="J11" s="3" t="inlineStr">
        <is>
          <t>Engineering &amp; Technology, Computer Science, Data &amp; AI, Mathematics &amp; Natural Sciences</t>
        </is>
      </c>
      <c r="K11" s="3" t="inlineStr">
        <is>
          <t>Full</t>
        </is>
      </c>
      <c r="L11" s="3" t="inlineStr">
        <is>
          <t>Full Ride (100% Tuition, Full Board/Accommodation, Laptop, Flights, Stipend)</t>
        </is>
      </c>
      <c r="M11" s="3" t="inlineStr">
        <is>
          <t>Mar 29 (Annual deadline across South Africa, Rwanda, Ghana, Senegal, Cameroon hubs)</t>
        </is>
      </c>
      <c r="N11" s="3" t="inlineStr">
        <is>
          <t>African citizen; 4-year Bachelor’s degree in Mathematics, Physics, Computer Science, Statistics, or Engineering with strong quantitative/coding foundation.</t>
        </is>
      </c>
      <c r="O11" s="3" t="inlineStr">
        <is>
          <t>Medium: Transcript + CV + Short Motivation Statement + 3 Referees + Online Math/Coding Assessment</t>
        </is>
      </c>
      <c r="P11" s="3" t="inlineStr">
        <is>
          <t>Math, Physics, Data Science &amp; AI Majors</t>
        </is>
      </c>
      <c r="Q11" s="3" t="n"/>
      <c r="R11" s="3" t="n"/>
      <c r="S11" s="3" t="n"/>
      <c r="T11" s="3" t="n"/>
      <c r="U11" s="3" t="n"/>
      <c r="V11" s="3" t="n"/>
      <c r="W11" s="3" t="n"/>
      <c r="X11" s="3" t="n"/>
      <c r="Y11" s="3" t="n"/>
      <c r="Z11" s="3" t="inlineStr">
        <is>
          <t>STEM</t>
        </is>
      </c>
      <c r="AA11" s="4" t="n"/>
      <c r="AB11" s="4" t="n"/>
      <c r="AC11" s="3">
        <f>IF(AND(E11&lt;&gt;"",COUNTIF($E$2:$E$800,E11)&gt;1),"DUPLICATE","")</f>
        <v/>
      </c>
    </row>
    <row r="12" ht="57.6" customHeight="1">
      <c r="A12" s="3" t="inlineStr">
        <is>
          <t>afdb-japan-africa-dream-scholarship-jads-master</t>
        </is>
      </c>
      <c r="B12" s="3" t="inlineStr">
        <is>
          <t>Open</t>
        </is>
      </c>
      <c r="C12" s="3" t="n"/>
      <c r="D12" s="3" t="inlineStr">
        <is>
          <t>Scholarship</t>
        </is>
      </c>
      <c r="E12" s="3" t="inlineStr">
        <is>
          <t>AfDB Japan Africa Dream Scholarship (JADS)</t>
        </is>
      </c>
      <c r="F12" s="3" t="inlineStr">
        <is>
          <t>African Development Bank &amp; Govt. of Japan</t>
        </is>
      </c>
      <c r="G12" s="3" t="inlineStr">
        <is>
          <t>Africa</t>
        </is>
      </c>
      <c r="H12" s="3" t="inlineStr">
        <is>
          <t>Japan</t>
        </is>
      </c>
      <c r="I12" s="3" t="inlineStr">
        <is>
          <t>Master</t>
        </is>
      </c>
      <c r="J12" s="3" t="inlineStr">
        <is>
          <t>Engineering &amp; Technology, Health &amp; Life Sciences, Agriculture &amp; Food Security, Environment, Water &amp; Energy</t>
        </is>
      </c>
      <c r="K12" s="3" t="inlineStr">
        <is>
          <t>Full</t>
        </is>
      </c>
      <c r="L12" s="3" t="inlineStr">
        <is>
          <t>Full Ride (Full Tuition, Monthly Living Allowance, Health Insurance, Round-Trip Airfare)</t>
        </is>
      </c>
      <c r="M12" s="3" t="inlineStr">
        <is>
          <t>Jul – Aug (Varies slightly by partner university window)</t>
        </is>
      </c>
      <c r="N12" s="3" t="inlineStr">
        <is>
          <t>Citizen of AfDB member country; under 35; Bachelor’s degree + minimum 1–2 years professional experience; Energy, Agriculture, Health, Environment, Engineering.</t>
        </is>
      </c>
      <c r="O12" s="3" t="inlineStr">
        <is>
          <t>High: University Admission Letter + Statement of Purpose on National Development + Employment Verification + 2 References</t>
        </is>
      </c>
      <c r="P12" s="3" t="inlineStr">
        <is>
          <t>Mid-Career STEM/Development Professionals</t>
        </is>
      </c>
      <c r="Q12" s="3" t="n"/>
      <c r="R12" s="3" t="n"/>
      <c r="S12" s="3" t="n"/>
      <c r="T12" s="3" t="n"/>
      <c r="U12" s="3" t="n"/>
      <c r="V12" s="3" t="n"/>
      <c r="W12" s="3" t="n"/>
      <c r="X12" s="3" t="n"/>
      <c r="Y12" s="3" t="n"/>
      <c r="Z12" s="3" t="inlineStr">
        <is>
          <t>STEM, Work experience</t>
        </is>
      </c>
      <c r="AA12" s="4" t="n"/>
      <c r="AB12" s="4" t="n"/>
      <c r="AC12" s="3">
        <f>IF(AND(E12&lt;&gt;"",COUNTIF($E$2:$E$800,E12)&gt;1),"DUPLICATE","")</f>
        <v/>
      </c>
    </row>
    <row r="13" ht="216" customHeight="1">
      <c r="A13" s="3" t="inlineStr">
        <is>
          <t>paset-regional-scholarship-innovation-fund-rsif-phd</t>
        </is>
      </c>
      <c r="B13" s="3" t="inlineStr">
        <is>
          <t>Open</t>
        </is>
      </c>
      <c r="C13" s="3" t="n"/>
      <c r="D13" s="3" t="inlineStr">
        <is>
          <t>Scholarship</t>
        </is>
      </c>
      <c r="E13" s="3" t="inlineStr">
        <is>
          <t>PASET Regional Scholarship &amp; Innovation Fund (RSIF)</t>
        </is>
      </c>
      <c r="F13" s="3" t="inlineStr">
        <is>
          <t>Partnership for skills in Applied Sciences, Engineering &amp; Technology / icipe</t>
        </is>
      </c>
      <c r="G13" s="3" t="inlineStr">
        <is>
          <t>Africa</t>
        </is>
      </c>
      <c r="H13" s="3" t="inlineStr">
        <is>
          <t>Kenya</t>
        </is>
      </c>
      <c r="I13" s="3" t="inlineStr">
        <is>
          <t>PhD</t>
        </is>
      </c>
      <c r="J13" s="3" t="inlineStr">
        <is>
          <t>Engineering &amp; Technology, Computer Science, Data &amp; AI, Mathematics &amp; Natural Sciences, Agriculture &amp; Food Security, Environment, Water &amp; Energy</t>
        </is>
      </c>
      <c r="K13" s="3" t="inlineStr">
        <is>
          <t>Full</t>
        </is>
      </c>
      <c r="L13" s="3" t="inlineStr">
        <is>
          <t>Full Ride + 6–12 Mo International Sandwich Placement (Tuition, Stipend, Research Funds, Travel, Insurance)</t>
        </is>
      </c>
      <c r="M13" s="3" t="inlineStr">
        <is>
          <t>May 31 (Annual cycle)</t>
        </is>
      </c>
      <c r="N13" s="3" t="inlineStr">
        <is>
          <t>Citizen of Sub-Saharan African country; Master’s degree in ICT/Data Science, Food Security, Minerals/Materials Engineering, Energy, or Climate Change; priority for women and junior faculty under 35.</t>
        </is>
      </c>
      <c r="O13" s="3" t="inlineStr">
        <is>
          <t>High: PhD Research Concept Note + Master’s/Bachelor’s Transcripts + 2 Recommendation Letters + University Admission/Endorsement</t>
        </is>
      </c>
      <c r="P13" s="3" t="inlineStr">
        <is>
          <t>STEM PhD Candidates &amp; Junior Faculty Seeking International Lab Exposure</t>
        </is>
      </c>
      <c r="Q13" s="3" t="inlineStr">
        <is>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is>
      </c>
      <c r="R13" s="3" t="inlineStr">
        <is>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is>
      </c>
      <c r="S13" s="3" t="inlineStr">
        <is>
          <t>Independent External Scientific Review (evaluates scientific merit, methodology, and industrial relevance of the PhD proposal), Academic Track Record &amp; Publications, and Priority Weighting for female STEM researchers and junior university faculty under age 35.</t>
        </is>
      </c>
      <c r="T13" s="3" t="inlineStr">
        <is>
          <t>A 30-year-old female lecturer or researcher with a Master’s in Renewable Energy, Materials Science, or Agricultural Biotechnology and 1–2 co-authored journal papers whose PhD project solves a tangible industrial or environmental bottleneck in Sub-Saharan Africa.</t>
        </is>
      </c>
      <c r="U13" s="3" t="n"/>
      <c r="V13" s="3" t="inlineStr">
        <is>
          <t>https://www.rsif-paset.org/calls/scholarships/</t>
        </is>
      </c>
      <c r="W13" s="3" t="n"/>
      <c r="X13" s="3" t="n"/>
      <c r="Y13" s="3" t="n"/>
      <c r="Z13" s="3" t="inlineStr">
        <is>
          <t>Women, STEM</t>
        </is>
      </c>
      <c r="AA13" s="4" t="n"/>
      <c r="AB13" s="4" t="n"/>
      <c r="AC13" s="3">
        <f>IF(AND(E13&lt;&gt;"",COUNTIF($E$2:$E$800,E13)&gt;1),"DUPLICATE","")</f>
        <v/>
      </c>
    </row>
    <row r="14" ht="72" customHeight="1">
      <c r="A14" s="3" t="inlineStr">
        <is>
          <t>daad-in-country-in-region-scholarship-programme-phd</t>
        </is>
      </c>
      <c r="B14" s="3" t="inlineStr">
        <is>
          <t>Open</t>
        </is>
      </c>
      <c r="C14" s="3" t="n"/>
      <c r="D14" s="3" t="inlineStr">
        <is>
          <t>Scholarship</t>
        </is>
      </c>
      <c r="E14" s="3" t="inlineStr">
        <is>
          <t>DAAD In-Country / In-Region Scholarship Programme</t>
        </is>
      </c>
      <c r="F14" s="3" t="inlineStr">
        <is>
          <t>German Academic Exchange Service — 40+ African Centers of Excellence</t>
        </is>
      </c>
      <c r="G14" s="3" t="inlineStr">
        <is>
          <t>Africa</t>
        </is>
      </c>
      <c r="H14" s="3" t="inlineStr">
        <is>
          <t>Germany</t>
        </is>
      </c>
      <c r="I14" s="3" t="inlineStr">
        <is>
          <t>PhD</t>
        </is>
      </c>
      <c r="J14" s="3" t="inlineStr">
        <is>
          <t>Mathematics &amp; Natural Sciences, Health &amp; Life Sciences, Agriculture &amp; Food Security, Law, Governance &amp; Public Policy</t>
        </is>
      </c>
      <c r="K14" s="3" t="inlineStr">
        <is>
          <t>Full</t>
        </is>
      </c>
      <c r="L14" s="3" t="inlineStr">
        <is>
          <t>Full Ride + Optional 6-Mo Germany Research Stay (Tuition, Monthly EUR Stipend, Research Allowance, Travel)</t>
        </is>
      </c>
      <c r="M14" s="3" t="inlineStr">
        <is>
          <t>Nov 20 – Feb 15 (Staggered by host institution via DAAD portal)</t>
        </is>
      </c>
      <c r="N14" s="3" t="inlineStr">
        <is>
          <t>Sub-Saharan African national; Master’s degree completed within the last 6 years with above-average grades (Upper Second/Distinction); STEM, Public Health, Agriculture, Governance, Law.</t>
        </is>
      </c>
      <c r="O14" s="3" t="inlineStr">
        <is>
          <t>High: Dual Application (Host University + DAAD Portal) + Detailed PhD Research Proposal + Work Schedule + 2 Referees</t>
        </is>
      </c>
      <c r="P14" s="3" t="inlineStr">
        <is>
          <t>Recent Master’s Graduates Applying to Accredited African Centers of Excellence</t>
        </is>
      </c>
      <c r="Q14" s="3" t="n"/>
      <c r="R14" s="3" t="n"/>
      <c r="S14" s="3" t="n"/>
      <c r="T14" s="3" t="n"/>
      <c r="U14" s="3" t="n"/>
      <c r="V14" s="3" t="n"/>
      <c r="W14" s="3" t="n"/>
      <c r="X14" s="3" t="n"/>
      <c r="Y14" s="3" t="n"/>
      <c r="Z14" s="3" t="inlineStr">
        <is>
          <t>STEM</t>
        </is>
      </c>
      <c r="AA14" s="4" t="n"/>
      <c r="AB14" s="4" t="n"/>
      <c r="AC14" s="3">
        <f>IF(AND(E14&lt;&gt;"",COUNTIF($E$2:$E$800,E14)&gt;1),"DUPLICATE","")</f>
        <v/>
      </c>
    </row>
    <row r="15" ht="57.6" customHeight="1">
      <c r="A15" s="3" t="inlineStr">
        <is>
          <t>owsd-phd-fellowship-phd</t>
        </is>
      </c>
      <c r="B15" s="3" t="inlineStr">
        <is>
          <t>Open</t>
        </is>
      </c>
      <c r="C15" s="3" t="n"/>
      <c r="D15" s="3" t="inlineStr">
        <is>
          <t>Scholarship</t>
        </is>
      </c>
      <c r="E15" s="3" t="inlineStr">
        <is>
          <t>OWSD PhD Fellowship</t>
        </is>
      </c>
      <c r="F15" s="3" t="inlineStr">
        <is>
          <t>Organization for Women in Science for the Developing World &amp; Sida/UNESCO</t>
        </is>
      </c>
      <c r="G15" s="3" t="inlineStr">
        <is>
          <t>Africa</t>
        </is>
      </c>
      <c r="H15" s="3" t="inlineStr">
        <is>
          <t>South Africa, Ghana, Kenya</t>
        </is>
      </c>
      <c r="I15" s="3" t="inlineStr">
        <is>
          <t>PhD</t>
        </is>
      </c>
      <c r="J15" s="3" t="inlineStr">
        <is>
          <t>Engineering &amp; Technology, Mathematics &amp; Natural Sciences</t>
        </is>
      </c>
      <c r="K15" s="3" t="inlineStr">
        <is>
          <t>Full</t>
        </is>
      </c>
      <c r="L15" s="3" t="inlineStr">
        <is>
          <t>Full Ride (Tuition, Monthly Living Stipend, Accommodation, Visa/Airfare, Research &amp; Conference Grants)</t>
        </is>
      </c>
      <c r="M15" s="3" t="inlineStr">
        <is>
          <t>Mar – Apr (Annual call)</t>
        </is>
      </c>
      <c r="N15" s="3" t="inlineStr">
        <is>
          <t>Female scientist from a Science &amp; Technology Lagging Country (STLC); Master’s in Natural, Engineering, or IT Sciences; accepted/hosted by a top institute in another Global South country (e.g., South Africa, Kenya, Ghana).</t>
        </is>
      </c>
      <c r="O15" s="3" t="inlineStr">
        <is>
          <t>High: Host Supervisor Acceptance Letter + PhD Research Proposal + 2 Reference Letters + No-Objection Certificate</t>
        </is>
      </c>
      <c r="P15" s="3" t="inlineStr">
        <is>
          <t>Women Scientists in STEM from Eligible African Countries</t>
        </is>
      </c>
      <c r="Q15" s="3" t="n"/>
      <c r="R15" s="3" t="n"/>
      <c r="S15" s="3" t="n"/>
      <c r="T15" s="3" t="n"/>
      <c r="U15" s="3" t="n"/>
      <c r="V15" s="3" t="n"/>
      <c r="W15" s="3" t="n"/>
      <c r="X15" s="3" t="n"/>
      <c r="Y15" s="3" t="n"/>
      <c r="Z15" s="3" t="inlineStr">
        <is>
          <t>Women, STEM</t>
        </is>
      </c>
      <c r="AA15" s="4" t="n"/>
      <c r="AB15" s="4" t="n"/>
      <c r="AC15" s="3">
        <f>IF(AND(E15&lt;&gt;"",COUNTIF($E$2:$E$800,E15)&gt;1),"DUPLICATE","")</f>
        <v/>
      </c>
    </row>
    <row r="16" ht="72" customHeight="1">
      <c r="A16" s="3" t="inlineStr">
        <is>
          <t>canon-collins-trust-postgraduate-scholarships-phd</t>
        </is>
      </c>
      <c r="B16" s="3" t="inlineStr">
        <is>
          <t>Open</t>
        </is>
      </c>
      <c r="C16" s="3" t="n"/>
      <c r="D16" s="3" t="inlineStr">
        <is>
          <t>Scholarship</t>
        </is>
      </c>
      <c r="E16" s="3" t="inlineStr">
        <is>
          <t>Canon Collins Trust Postgraduate Scholarships</t>
        </is>
      </c>
      <c r="F16" s="3" t="inlineStr">
        <is>
          <t>Canon Collins Educational &amp; Legal Assistance Trust — South Africa</t>
        </is>
      </c>
      <c r="G16" s="3" t="inlineStr">
        <is>
          <t>Africa</t>
        </is>
      </c>
      <c r="H16" s="3" t="inlineStr">
        <is>
          <t>South Africa</t>
        </is>
      </c>
      <c r="I16" s="3" t="inlineStr">
        <is>
          <t>PhD</t>
        </is>
      </c>
      <c r="J16" s="3" t="inlineStr">
        <is>
          <t>Environment, Water &amp; Energy, Law, Governance &amp; Public Policy, Education</t>
        </is>
      </c>
      <c r="K16" s="3" t="inlineStr">
        <is>
          <t>Full</t>
        </is>
      </c>
      <c r="L16" s="3" t="inlineStr">
        <is>
          <t>R20,000 – R100,000/yr (Up to Full Tuition &amp; Living Support depending on sub-fund)</t>
        </is>
      </c>
      <c r="M16" s="3" t="inlineStr">
        <is>
          <t>Jul – Aug (Annual cycle for next academic year)</t>
        </is>
      </c>
      <c r="N16" s="3" t="inlineStr">
        <is>
          <t>Citizen/Refugee of SADC / Southern Africa (Angola, Botswana, DRC, Eswatini, Lesotho, Malawi, Mozambique, Namibia, SA, Tanzania, Zambia, Zimbabwe); studying Justice/Law, Education, or Climate Change in South Africa.</t>
        </is>
      </c>
      <c r="O16" s="3" t="inlineStr">
        <is>
          <t>High: Academic Transcripts + PhD Proposal + Impact Essays + 2 Reference Letters + Proof of Income/Pay Slips</t>
        </is>
      </c>
      <c r="P16" s="3" t="inlineStr">
        <is>
          <t>Southern African Law, Education, and Climate Change Researchers</t>
        </is>
      </c>
      <c r="Q16" s="3" t="n"/>
      <c r="R16" s="3" t="n"/>
      <c r="S16" s="3" t="n"/>
      <c r="T16" s="3" t="n"/>
      <c r="U16" s="3" t="n"/>
      <c r="V16" s="3" t="n"/>
      <c r="W16" s="3" t="n"/>
      <c r="X16" s="3" t="n"/>
      <c r="Y16" s="3" t="n"/>
      <c r="Z16" s="3" t="n"/>
      <c r="AA16" s="4" t="n"/>
      <c r="AB16" s="4" t="n"/>
      <c r="AC16" s="3">
        <f>IF(AND(E16&lt;&gt;"",COUNTIF($E$2:$E$800,E16)&gt;1),"DUPLICATE","")</f>
        <v/>
      </c>
    </row>
    <row r="17" ht="129.6" customHeight="1">
      <c r="A17" s="3" t="inlineStr">
        <is>
          <t>mext-undergraduate-scholarship-bachelor</t>
        </is>
      </c>
      <c r="B17" s="3" t="inlineStr">
        <is>
          <t>Open</t>
        </is>
      </c>
      <c r="C17" s="3" t="n"/>
      <c r="D17" s="3" t="inlineStr">
        <is>
          <t>Scholarship</t>
        </is>
      </c>
      <c r="E17" s="3" t="inlineStr">
        <is>
          <t>MEXT Undergraduate Scholarship</t>
        </is>
      </c>
      <c r="F17" s="3" t="inlineStr">
        <is>
          <t>Government of Japan — MEXT</t>
        </is>
      </c>
      <c r="G17" s="3" t="inlineStr">
        <is>
          <t>Asia</t>
        </is>
      </c>
      <c r="H17" s="3" t="inlineStr">
        <is>
          <t>Japan</t>
        </is>
      </c>
      <c r="I17" s="3" t="inlineStr">
        <is>
          <t>Bachelor</t>
        </is>
      </c>
      <c r="J17" s="3" t="inlineStr">
        <is>
          <t>Mathematics &amp; Natural Sciences</t>
        </is>
      </c>
      <c r="K17" s="3" t="inlineStr">
        <is>
          <t>Full</t>
        </is>
      </c>
      <c r="L17" s="3" t="inlineStr">
        <is>
          <t>Full Ride (100% Tuition, ¥117,000/mo Stipend, Round-Trip Airfare, Free Japanese Prep)</t>
        </is>
      </c>
      <c r="M17" s="3" t="inlineStr">
        <is>
          <t>May – June (Annual embassy recommendation window)</t>
        </is>
      </c>
      <c r="N17" s="3" t="inlineStr">
        <is>
          <t>High school graduate; age 17 to 25; willing to study in Japanese language (includes 1-year preparatory training); strong math/science background.</t>
        </is>
      </c>
      <c r="O17" s="3" t="inlineStr">
        <is>
          <t>High: Written Exams (Math, English, Japanese/Science) + Embassy Interview + Medical Certificate</t>
        </is>
      </c>
      <c r="P17" s="3" t="inlineStr">
        <is>
          <t>Young High School Graduates Open to Learning Japanese</t>
        </is>
      </c>
      <c r="Q17" s="3" t="inlineStr">
        <is>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is>
      </c>
      <c r="R17" s="3" t="inlineStr">
        <is>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is>
      </c>
      <c r="S17" s="3" t="inlineStr">
        <is>
          <t>Primary Screening by Embassies (Document review, English/Japanese written exams, and formal interview) → Secondary Screening by MEXT in Tokyo.</t>
        </is>
      </c>
      <c r="T17" s="3" t="inlineStr">
        <is>
          <t>Diligent science or humanities graduates who excel in embassy written exams and present a rigorous, feasible research proposal for their prospective Japanese laboratory.</t>
        </is>
      </c>
      <c r="U17" s="3" t="n"/>
      <c r="V17" s="3" t="inlineStr">
        <is>
          <t>https://www.studyinjapan.go.jp</t>
        </is>
      </c>
      <c r="W17" s="3" t="n"/>
      <c r="X17" s="3" t="n"/>
      <c r="Y17" s="3" t="n"/>
      <c r="Z17" s="3" t="inlineStr">
        <is>
          <t>STEM</t>
        </is>
      </c>
      <c r="AA17" s="4" t="n"/>
      <c r="AB17" s="4" t="n"/>
      <c r="AC17" s="3">
        <f>IF(AND(E17&lt;&gt;"",COUNTIF($E$2:$E$800,E17)&gt;1),"DUPLICATE","")</f>
        <v/>
      </c>
    </row>
    <row r="18" ht="144" customHeight="1">
      <c r="A18" s="3" t="inlineStr">
        <is>
          <t>global-korea-scholarship-gks-undergraduate-bachelor</t>
        </is>
      </c>
      <c r="B18" s="3" t="inlineStr">
        <is>
          <t>Open</t>
        </is>
      </c>
      <c r="C18" s="3" t="n"/>
      <c r="D18" s="3" t="inlineStr">
        <is>
          <t>Scholarship</t>
        </is>
      </c>
      <c r="E18" s="3" t="inlineStr">
        <is>
          <t>Global Korea Scholarship (GKS) Undergraduate</t>
        </is>
      </c>
      <c r="F18" s="3" t="inlineStr">
        <is>
          <t>Government of South Korea — NIIED</t>
        </is>
      </c>
      <c r="G18" s="3" t="inlineStr">
        <is>
          <t>Asia</t>
        </is>
      </c>
      <c r="H18" s="3" t="inlineStr">
        <is>
          <t>South Korea</t>
        </is>
      </c>
      <c r="I18" s="3" t="inlineStr">
        <is>
          <t>Bachelor</t>
        </is>
      </c>
      <c r="J18" s="3" t="inlineStr">
        <is>
          <t>All fields</t>
        </is>
      </c>
      <c r="K18" s="3" t="inlineStr">
        <is>
          <t>Full</t>
        </is>
      </c>
      <c r="L18" s="3" t="inlineStr">
        <is>
          <t>Full Ride (Tuition, KRW 900,000/mo Stipend, Settlement Allowance, Airfare, 1-Yr Korean Prep)</t>
        </is>
      </c>
      <c r="M18" s="3" t="inlineStr">
        <is>
          <t>Sep – Oct (Embassy Track) / Oct – Nov (University Track)</t>
        </is>
      </c>
      <c r="N18" s="3" t="inlineStr">
        <is>
          <t>High school graduate; age under 25; minimum GPA 2.64/4.0 (or top 20%); all academic majors.</t>
        </is>
      </c>
      <c r="O18" s="3" t="inlineStr">
        <is>
          <t>High: Personal Statement + Study Plan + 3 Recommendation Letters + Apostilled Transcripts</t>
        </is>
      </c>
      <c r="P18" s="3" t="inlineStr">
        <is>
          <t>High School Seniors Seeking Full Sponsorship in Korea</t>
        </is>
      </c>
      <c r="Q18" s="3" t="inlineStr">
        <is>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is>
      </c>
      <c r="R18" s="3" t="inlineStr">
        <is>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is>
      </c>
      <c r="S18" s="3" t="inlineStr">
        <is>
          <t>Document Screening (40%), Embassy/University Interviews (35%), Language/Academic Aptitude Assessment (25%).</t>
        </is>
      </c>
      <c r="T18" s="3" t="inlineStr">
        <is>
          <t>Multilingual graduates with strong GPAs who demonstrate clear alignment with South Korea's technological or cultural industries in their study plans.</t>
        </is>
      </c>
      <c r="U18" s="3" t="n"/>
      <c r="V18" s="3" t="inlineStr">
        <is>
          <t>https://www.studyinkorea.go.kr</t>
        </is>
      </c>
      <c r="W18" s="3" t="n"/>
      <c r="X18" s="3" t="n"/>
      <c r="Y18" s="3" t="n"/>
      <c r="Z18" s="3" t="n"/>
      <c r="AA18" s="4" t="n"/>
      <c r="AB18" s="4" t="n"/>
      <c r="AC18" s="3">
        <f>IF(AND(E18&lt;&gt;"",COUNTIF($E$2:$E$800,E18)&gt;1),"DUPLICATE","")</f>
        <v/>
      </c>
    </row>
    <row r="19" ht="72" customHeight="1">
      <c r="A19" s="3" t="inlineStr">
        <is>
          <t>chinese-government-scholarship-csc-undergraduate-bachelor</t>
        </is>
      </c>
      <c r="B19" s="3" t="inlineStr">
        <is>
          <t>Open</t>
        </is>
      </c>
      <c r="C19" s="3" t="n"/>
      <c r="D19" s="3" t="inlineStr">
        <is>
          <t>Scholarship</t>
        </is>
      </c>
      <c r="E19" s="3" t="inlineStr">
        <is>
          <t>Chinese Government Scholarship (CSC) Undergraduate</t>
        </is>
      </c>
      <c r="F19" s="3" t="inlineStr">
        <is>
          <t>China Scholarship Council</t>
        </is>
      </c>
      <c r="G19" s="3" t="inlineStr">
        <is>
          <t>Asia</t>
        </is>
      </c>
      <c r="H19" s="3" t="inlineStr">
        <is>
          <t>China</t>
        </is>
      </c>
      <c r="I19" s="3" t="inlineStr">
        <is>
          <t>Bachelor</t>
        </is>
      </c>
      <c r="J19" s="3" t="inlineStr">
        <is>
          <t>All fields</t>
        </is>
      </c>
      <c r="K19" s="3" t="inlineStr">
        <is>
          <t>Full</t>
        </is>
      </c>
      <c r="L19" s="3" t="inlineStr">
        <is>
          <t>Full Ride (Tuition Waiver, Free On-Campus Dorm, CNY 2,500/mo Stipend, Medical Insurance)</t>
        </is>
      </c>
      <c r="M19" s="3" t="inlineStr">
        <is>
          <t>Dec – April (Varies by host university)</t>
        </is>
      </c>
      <c r="N19" s="3" t="inlineStr">
        <is>
          <t>Non-Chinese citizen; high school diploma; age under 25; programs available in English or Chinese medium.</t>
        </is>
      </c>
      <c r="O19" s="3" t="inlineStr">
        <is>
          <t>Medium: Application Form + High School Transcript + Physical Examination Form + Non-Criminal Record</t>
        </is>
      </c>
      <c r="P19" s="3" t="inlineStr">
        <is>
          <t>Undergraduates Seeking Direct University Entry in China</t>
        </is>
      </c>
      <c r="Q19" s="3" t="n"/>
      <c r="R19" s="3" t="n"/>
      <c r="S19" s="3" t="n"/>
      <c r="T19" s="3" t="n"/>
      <c r="U19" s="3" t="n"/>
      <c r="V19" s="3" t="n"/>
      <c r="W19" s="3" t="n"/>
      <c r="X19" s="3" t="n"/>
      <c r="Y19" s="3" t="n"/>
      <c r="Z19" s="3" t="n"/>
      <c r="AA19" s="4" t="n"/>
      <c r="AB19" s="4" t="n"/>
      <c r="AC19" s="3">
        <f>IF(AND(E19&lt;&gt;"",COUNTIF($E$2:$E$800,E19)&gt;1),"DUPLICATE","")</f>
        <v/>
      </c>
    </row>
    <row r="20" ht="57.6" customHeight="1">
      <c r="A20" s="3" t="inlineStr">
        <is>
          <t>asean-undergraduate-scholarships-aus-bachelor</t>
        </is>
      </c>
      <c r="B20" s="3" t="inlineStr">
        <is>
          <t>Open</t>
        </is>
      </c>
      <c r="C20" s="3" t="n"/>
      <c r="D20" s="3" t="inlineStr">
        <is>
          <t>Scholarship</t>
        </is>
      </c>
      <c r="E20" s="3" t="inlineStr">
        <is>
          <t>ASEAN Undergraduate Scholarships (AUS)</t>
        </is>
      </c>
      <c r="F20" s="3" t="inlineStr">
        <is>
          <t>National University of Singapore / NTU / SMU</t>
        </is>
      </c>
      <c r="G20" s="3" t="inlineStr">
        <is>
          <t>Asia</t>
        </is>
      </c>
      <c r="H20" s="3" t="inlineStr">
        <is>
          <t>Singapore</t>
        </is>
      </c>
      <c r="I20" s="3" t="inlineStr">
        <is>
          <t>Bachelor</t>
        </is>
      </c>
      <c r="J20" s="3" t="inlineStr">
        <is>
          <t>All fields</t>
        </is>
      </c>
      <c r="K20" s="3" t="inlineStr">
        <is>
          <t>Full</t>
        </is>
      </c>
      <c r="L20" s="3" t="inlineStr">
        <is>
          <t>Full Tuition + Accommodation Allowance + Annual Living Allowance (approx. SGD 5,800/yr living)</t>
        </is>
      </c>
      <c r="M20" s="3" t="inlineStr">
        <is>
          <t>Mar – May (Aligned with university admission cycles)</t>
        </is>
      </c>
      <c r="N20" s="3" t="inlineStr">
        <is>
          <t>Citizens of ASEAN member countries (excluding Singapore); excellent Singapore-Cambridge GCE A-Level, IB, or high school results.</t>
        </is>
      </c>
      <c r="O20" s="3" t="inlineStr">
        <is>
          <t>Medium: University Admission Application + Separate Financial/Merit Scholarship Form</t>
        </is>
      </c>
      <c r="P20" s="3" t="inlineStr">
        <is>
          <t>Top-Tier High School Students from Southeast Asia</t>
        </is>
      </c>
      <c r="Q20" s="3" t="n"/>
      <c r="R20" s="3" t="n"/>
      <c r="S20" s="3" t="n"/>
      <c r="T20" s="3" t="n"/>
      <c r="U20" s="3" t="n"/>
      <c r="V20" s="3" t="n"/>
      <c r="W20" s="3" t="n"/>
      <c r="X20" s="3" t="n"/>
      <c r="Y20" s="3" t="n"/>
      <c r="Z20" s="3" t="n"/>
      <c r="AA20" s="4" t="n"/>
      <c r="AB20" s="4" t="n"/>
      <c r="AC20" s="3">
        <f>IF(AND(E20&lt;&gt;"",COUNTIF($E$2:$E$800,E20)&gt;1),"DUPLICATE","")</f>
        <v/>
      </c>
    </row>
    <row r="21" ht="144" customHeight="1">
      <c r="A21" s="3" t="inlineStr">
        <is>
          <t>global-korea-scholarship-gks-graduate-master</t>
        </is>
      </c>
      <c r="B21" s="3" t="inlineStr">
        <is>
          <t>Open</t>
        </is>
      </c>
      <c r="C21" s="3" t="n"/>
      <c r="D21" s="3" t="inlineStr">
        <is>
          <t>Scholarship</t>
        </is>
      </c>
      <c r="E21" s="3" t="inlineStr">
        <is>
          <t>Global Korea Scholarship (GKS) Graduate</t>
        </is>
      </c>
      <c r="F21" s="3" t="inlineStr">
        <is>
          <t>Government of South Korea — NIIED</t>
        </is>
      </c>
      <c r="G21" s="3" t="inlineStr">
        <is>
          <t>Asia</t>
        </is>
      </c>
      <c r="H21" s="3" t="inlineStr">
        <is>
          <t>South Korea</t>
        </is>
      </c>
      <c r="I21" s="3" t="inlineStr">
        <is>
          <t>Master</t>
        </is>
      </c>
      <c r="J21" s="3" t="inlineStr">
        <is>
          <t>All fields</t>
        </is>
      </c>
      <c r="K21" s="3" t="inlineStr">
        <is>
          <t>Full</t>
        </is>
      </c>
      <c r="L21" s="3" t="inlineStr">
        <is>
          <t>Full Ride (Full Tuition, KRW 1,000,000/mo Stipend, Research/Settlement Allowance, Airfare, 1-Yr Korean Prep)</t>
        </is>
      </c>
      <c r="M21" s="3" t="inlineStr">
        <is>
          <t>Feb – March (Embassy) / March – April (University)</t>
        </is>
      </c>
      <c r="N21" s="3" t="inlineStr">
        <is>
          <t>Bachelor’s degree; age under 40; minimum GPA 2.64/4.0 (or 80%+); all fields.</t>
        </is>
      </c>
      <c r="O21" s="3" t="inlineStr">
        <is>
          <t>High: Statement of Purpose + Global Network Study Plan + 2 Recommendation Letters</t>
        </is>
      </c>
      <c r="P21" s="3" t="inlineStr">
        <is>
          <t>Bachelor's Graduates Seeking Master's in South Korea</t>
        </is>
      </c>
      <c r="Q21" s="3" t="inlineStr">
        <is>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is>
      </c>
      <c r="R21" s="3" t="inlineStr">
        <is>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is>
      </c>
      <c r="S21" s="3" t="inlineStr">
        <is>
          <t>Document Screening (40%), Embassy/University Interviews (35%), Language/Academic Aptitude Assessment (25%).</t>
        </is>
      </c>
      <c r="T21" s="3" t="inlineStr">
        <is>
          <t>Multilingual graduates with strong GPAs who demonstrate clear alignment with South Korea's technological or cultural industries in their study plans.</t>
        </is>
      </c>
      <c r="U21" s="3" t="n"/>
      <c r="V21" s="3" t="inlineStr">
        <is>
          <t>https://www.studyinkorea.go.kr</t>
        </is>
      </c>
      <c r="W21" s="3" t="n"/>
      <c r="X21" s="3" t="n"/>
      <c r="Y21" s="3" t="n"/>
      <c r="Z21" s="3" t="n"/>
      <c r="AA21" s="4" t="n"/>
      <c r="AB21" s="4" t="n"/>
      <c r="AC21" s="3">
        <f>IF(AND(E21&lt;&gt;"",COUNTIF($E$2:$E$800,E21)&gt;1),"DUPLICATE","")</f>
        <v/>
      </c>
    </row>
    <row r="22" ht="129.6" customHeight="1">
      <c r="A22" s="3" t="inlineStr">
        <is>
          <t>mext-research-student-scholarship-master</t>
        </is>
      </c>
      <c r="B22" s="3" t="inlineStr">
        <is>
          <t>Open</t>
        </is>
      </c>
      <c r="C22" s="3" t="n"/>
      <c r="D22" s="3" t="inlineStr">
        <is>
          <t>Scholarship</t>
        </is>
      </c>
      <c r="E22" s="3" t="inlineStr">
        <is>
          <t>MEXT Research Student Scholarship</t>
        </is>
      </c>
      <c r="F22" s="3" t="inlineStr">
        <is>
          <t>Government of Japan — MEXT</t>
        </is>
      </c>
      <c r="G22" s="3" t="inlineStr">
        <is>
          <t>Asia</t>
        </is>
      </c>
      <c r="H22" s="3" t="inlineStr">
        <is>
          <t>Japan</t>
        </is>
      </c>
      <c r="I22" s="3" t="inlineStr">
        <is>
          <t>Master</t>
        </is>
      </c>
      <c r="J22" s="3" t="inlineStr">
        <is>
          <t>All fields</t>
        </is>
      </c>
      <c r="K22" s="3" t="inlineStr">
        <is>
          <t>Full</t>
        </is>
      </c>
      <c r="L22" s="3" t="inlineStr">
        <is>
          <t>Full Ride (Tuition, ¥144,000/mo Stipend, Round-Trip Airfare, Free Japanese Prep)</t>
        </is>
      </c>
      <c r="M22" s="3" t="inlineStr">
        <is>
          <t>April – June (Embassy track varies by country)</t>
        </is>
      </c>
      <c r="N22" s="3" t="inlineStr">
        <is>
          <t>Bachelor’s degree; age under 35; willing to conduct graduate research in Japan (English or Japanese tracks).</t>
        </is>
      </c>
      <c r="O22" s="3" t="inlineStr">
        <is>
          <t>High: Field of Study &amp; Research Program Plan + Placement Preference Form + Embassy Exams</t>
        </is>
      </c>
      <c r="P22" s="3" t="inlineStr">
        <is>
          <t>Bachelor's Graduates Seeking Research or Master's Degrees in Japan</t>
        </is>
      </c>
      <c r="Q22" s="3" t="inlineStr">
        <is>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is>
      </c>
      <c r="R22" s="3" t="inlineStr">
        <is>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is>
      </c>
      <c r="S22" s="3" t="inlineStr">
        <is>
          <t>Primary Screening by Embassies (Document review, English/Japanese written exams, and formal interview) → Secondary Screening by MEXT in Tokyo.</t>
        </is>
      </c>
      <c r="T22" s="3" t="inlineStr">
        <is>
          <t>Diligent science or humanities graduates who excel in embassy written exams and present a rigorous, feasible research proposal for their prospective Japanese laboratory.</t>
        </is>
      </c>
      <c r="U22" s="3" t="n"/>
      <c r="V22" s="3" t="inlineStr">
        <is>
          <t>https://www.studyinjapan.go.jp</t>
        </is>
      </c>
      <c r="W22" s="3" t="n"/>
      <c r="X22" s="3" t="n"/>
      <c r="Y22" s="3" t="n"/>
      <c r="Z22" s="3" t="inlineStr">
        <is>
          <t>Research</t>
        </is>
      </c>
      <c r="AA22" s="4" t="n"/>
      <c r="AB22" s="4" t="n"/>
      <c r="AC22" s="3">
        <f>IF(AND(E22&lt;&gt;"",COUNTIF($E$2:$E$800,E22)&gt;1),"DUPLICATE","")</f>
        <v/>
      </c>
    </row>
    <row r="23" ht="57.6" customHeight="1">
      <c r="A23" s="3" t="inlineStr">
        <is>
          <t>adb-japan-scholarship-program-adb-jsp-master</t>
        </is>
      </c>
      <c r="B23" s="3" t="inlineStr">
        <is>
          <t>Open</t>
        </is>
      </c>
      <c r="C23" s="3" t="n"/>
      <c r="D23" s="3" t="inlineStr">
        <is>
          <t>Scholarship</t>
        </is>
      </c>
      <c r="E23" s="3" t="inlineStr">
        <is>
          <t>ADB-Japan Scholarship Program (ADB-JSP)</t>
        </is>
      </c>
      <c r="F23" s="3" t="inlineStr">
        <is>
          <t>Asian Development Bank &amp; Gov. of Japan</t>
        </is>
      </c>
      <c r="G23" s="3" t="inlineStr">
        <is>
          <t>Asia</t>
        </is>
      </c>
      <c r="H23" s="3" t="inlineStr">
        <is>
          <t>Japan</t>
        </is>
      </c>
      <c r="I23" s="3" t="inlineStr">
        <is>
          <t>Master</t>
        </is>
      </c>
      <c r="J23" s="3" t="inlineStr">
        <is>
          <t>Mathematics &amp; Natural Sciences, Business, Economics &amp; Management</t>
        </is>
      </c>
      <c r="K23" s="3" t="inlineStr">
        <is>
          <t>Full</t>
        </is>
      </c>
      <c r="L23" s="3" t="inlineStr">
        <is>
          <t>Full Ride (Full Tuition, Monthly Subsistence &amp; Housing Allowance, Books, Medical Insurance, Airfare)</t>
        </is>
      </c>
      <c r="M23" s="3" t="inlineStr">
        <is>
          <t>Varies (Typically 3–6 months prior to intake)</t>
        </is>
      </c>
      <c r="N23" s="3" t="inlineStr">
        <is>
          <t>Citizen of ADB developing member country; Bachelor’s degree; minimum 2 years full-time professional experience; Economics, Management, Science, and Development fields.</t>
        </is>
      </c>
      <c r="O23" s="3" t="inlineStr">
        <is>
          <t>High: Admission Letter to Partner Univ + Income Proofs + Employer Certificate + 2 References</t>
        </is>
      </c>
      <c r="P23" s="3" t="inlineStr">
        <is>
          <t>Mid-Career Professionals from Developing Asian/Pacific Nations</t>
        </is>
      </c>
      <c r="Q23" s="3" t="n"/>
      <c r="R23" s="3" t="n"/>
      <c r="S23" s="3" t="n"/>
      <c r="T23" s="3" t="n"/>
      <c r="U23" s="3" t="n"/>
      <c r="V23" s="3" t="n"/>
      <c r="W23" s="3" t="n"/>
      <c r="X23" s="3" t="n"/>
      <c r="Y23" s="3" t="n"/>
      <c r="Z23" s="3" t="inlineStr">
        <is>
          <t>STEM, Work experience</t>
        </is>
      </c>
      <c r="AA23" s="4" t="n"/>
      <c r="AB23" s="4" t="n"/>
      <c r="AC23" s="3">
        <f>IF(AND(E23&lt;&gt;"",COUNTIF($E$2:$E$800,E23)&gt;1),"DUPLICATE","")</f>
        <v/>
      </c>
    </row>
    <row r="24" ht="57.6" customHeight="1">
      <c r="A24" s="3" t="inlineStr">
        <is>
          <t>schwarzman-scholars-master-s-program-master</t>
        </is>
      </c>
      <c r="B24" s="3" t="inlineStr">
        <is>
          <t>Open</t>
        </is>
      </c>
      <c r="C24" s="3" t="n"/>
      <c r="D24" s="3" t="inlineStr">
        <is>
          <t>Scholarship</t>
        </is>
      </c>
      <c r="E24" s="3" t="inlineStr">
        <is>
          <t>Schwarzman Scholars Master’s Program</t>
        </is>
      </c>
      <c r="F24" s="3" t="inlineStr">
        <is>
          <t>Tsinghua University, Beijing, China</t>
        </is>
      </c>
      <c r="G24" s="3" t="inlineStr">
        <is>
          <t>Asia</t>
        </is>
      </c>
      <c r="H24" s="3" t="inlineStr">
        <is>
          <t>China</t>
        </is>
      </c>
      <c r="I24" s="3" t="inlineStr">
        <is>
          <t>Master</t>
        </is>
      </c>
      <c r="J24" s="3" t="inlineStr">
        <is>
          <t>All fields</t>
        </is>
      </c>
      <c r="K24" s="3" t="inlineStr">
        <is>
          <t>Full</t>
        </is>
      </c>
      <c r="L24" s="3" t="inlineStr">
        <is>
          <t>Full Ride (Full Tuition, Living Stipend, Room &amp; Board, Tours, Travel, Laptop, Health Insurance)</t>
        </is>
      </c>
      <c r="M24" s="3" t="inlineStr">
        <is>
          <t>September (Annual deadline for following year)</t>
        </is>
      </c>
      <c r="N24" s="3" t="inlineStr">
        <is>
          <t>Age 18 to 29; Bachelor’s degree in any field; exceptional leadership qualities and strong English proficiency.</t>
        </is>
      </c>
      <c r="O24" s="3" t="inlineStr">
        <is>
          <t>Very High: 3 Letters of Recommendation + Video Essay + 3 Short Personal Statements + Institutional Endorsement</t>
        </is>
      </c>
      <c r="P24" s="3" t="inlineStr">
        <is>
          <t>Elite Young Global Leaders and Public Policy Aspirants</t>
        </is>
      </c>
      <c r="Q24" s="3" t="n"/>
      <c r="R24" s="3" t="n"/>
      <c r="S24" s="3" t="n"/>
      <c r="T24" s="3" t="n"/>
      <c r="U24" s="3" t="n"/>
      <c r="V24" s="3" t="n"/>
      <c r="W24" s="3" t="n"/>
      <c r="X24" s="3" t="n"/>
      <c r="Y24" s="3" t="n"/>
      <c r="Z24" s="3" t="n"/>
      <c r="AA24" s="4" t="n"/>
      <c r="AB24" s="4" t="n"/>
      <c r="AC24" s="3">
        <f>IF(AND(E24&lt;&gt;"",COUNTIF($E$2:$E$800,E24)&gt;1),"DUPLICATE","")</f>
        <v/>
      </c>
    </row>
    <row r="25" ht="57.6" customHeight="1">
      <c r="A25" s="3" t="inlineStr">
        <is>
          <t>malaysia-international-scholarship-mis-master</t>
        </is>
      </c>
      <c r="B25" s="3" t="inlineStr">
        <is>
          <t>Open</t>
        </is>
      </c>
      <c r="C25" s="3" t="n"/>
      <c r="D25" s="3" t="inlineStr">
        <is>
          <t>Scholarship</t>
        </is>
      </c>
      <c r="E25" s="3" t="inlineStr">
        <is>
          <t>Malaysia International Scholarship (MIS)</t>
        </is>
      </c>
      <c r="F25" s="3" t="inlineStr">
        <is>
          <t>Government of Malaysia</t>
        </is>
      </c>
      <c r="G25" s="3" t="inlineStr">
        <is>
          <t>Asia</t>
        </is>
      </c>
      <c r="H25" s="3" t="inlineStr">
        <is>
          <t>Malaysia</t>
        </is>
      </c>
      <c r="I25" s="3" t="inlineStr">
        <is>
          <t>Master</t>
        </is>
      </c>
      <c r="J25" s="3" t="inlineStr">
        <is>
          <t>All fields</t>
        </is>
      </c>
      <c r="K25" s="3" t="inlineStr">
        <is>
          <t>Full</t>
        </is>
      </c>
      <c r="L25" s="3" t="inlineStr">
        <is>
          <t>Full Ride (Full Tuition, MYR 3,000/mo Living Allowance, Airfare, Health Insurance)</t>
        </is>
      </c>
      <c r="M25" s="3" t="inlineStr">
        <is>
          <t>April – May (Annual call)</t>
        </is>
      </c>
      <c r="N25" s="3" t="inlineStr">
        <is>
          <t>Citizen from select developing/Commonwealth/ASEAN nations; age under 45; Bachelor’s degree with minimum Second Class Upper (2:1) or GPA 3.5/4.0.</t>
        </is>
      </c>
      <c r="O25" s="3" t="inlineStr">
        <is>
          <t>Medium: University Admission Offer + Research Proposal + 2 Recommendation Letters</t>
        </is>
      </c>
      <c r="P25" s="3" t="inlineStr">
        <is>
          <t>Postgraduate Candidates Seeking English-Medium Study in Malaysia</t>
        </is>
      </c>
      <c r="Q25" s="3" t="n"/>
      <c r="R25" s="3" t="n"/>
      <c r="S25" s="3" t="n"/>
      <c r="T25" s="3" t="n"/>
      <c r="U25" s="3" t="n"/>
      <c r="V25" s="3" t="n"/>
      <c r="W25" s="3" t="n"/>
      <c r="X25" s="3" t="n"/>
      <c r="Y25" s="3" t="n"/>
      <c r="Z25" s="3" t="n"/>
      <c r="AA25" s="4" t="n"/>
      <c r="AB25" s="4" t="n"/>
      <c r="AC25" s="3">
        <f>IF(AND(E25&lt;&gt;"",COUNTIF($E$2:$E$800,E25)&gt;1),"DUPLICATE","")</f>
        <v/>
      </c>
    </row>
    <row r="26" ht="129.6" customHeight="1">
      <c r="A26" s="3" t="inlineStr">
        <is>
          <t>singapore-international-graduate-award-singa-phd</t>
        </is>
      </c>
      <c r="B26" s="3" t="inlineStr">
        <is>
          <t>Open</t>
        </is>
      </c>
      <c r="C26" s="3" t="n"/>
      <c r="D26" s="3" t="inlineStr">
        <is>
          <t>Scholarship</t>
        </is>
      </c>
      <c r="E26" s="3" t="inlineStr">
        <is>
          <t>Singapore International Graduate Award (SINGA)</t>
        </is>
      </c>
      <c r="F26" s="3" t="inlineStr">
        <is>
          <t>A*STAR, NUS, NTU, SUTD — Singapore</t>
        </is>
      </c>
      <c r="G26" s="3" t="inlineStr">
        <is>
          <t>Asia</t>
        </is>
      </c>
      <c r="H26" s="3" t="inlineStr">
        <is>
          <t>Singapore</t>
        </is>
      </c>
      <c r="I26" s="3" t="inlineStr">
        <is>
          <t>PhD</t>
        </is>
      </c>
      <c r="J26" s="3" t="inlineStr">
        <is>
          <t>Engineering &amp; Technology, Mathematics &amp; Natural Sciences</t>
        </is>
      </c>
      <c r="K26" s="3" t="inlineStr">
        <is>
          <t>Full</t>
        </is>
      </c>
      <c r="L26" s="3" t="inlineStr">
        <is>
          <t>Full Ride + Monthly Stipend (Full Tuition, SGD 2,200–2,700/mo Stipend, SGD 1,000 Settlement Grant, Airfare)</t>
        </is>
      </c>
      <c r="M26" s="3" t="inlineStr">
        <is>
          <t>June 1 (Jan Intake) / Dec 1 (August Intake)</t>
        </is>
      </c>
      <c r="N26" s="3" t="inlineStr">
        <is>
          <t>Open to all international students; excellent academic results in Bachelor’s or Master’s; strong passion for Research in Science and Engineering.</t>
        </is>
      </c>
      <c r="O26" s="3" t="inlineStr">
        <is>
          <t>High: Research Interest Statement + Academic Transcripts + 2 Academic Referee Reports</t>
        </is>
      </c>
      <c r="P26" s="3" t="inlineStr">
        <is>
          <t>STEM &amp; Engineering Doctoral Researchers</t>
        </is>
      </c>
      <c r="Q26" s="3" t="inlineStr">
        <is>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is>
      </c>
      <c r="R26" s="3" t="inlineStr">
        <is>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is>
      </c>
      <c r="S26" s="3" t="inlineStr">
        <is>
          <t>Academic Merit &amp; University Ranking (40%), Research Experience &amp; Publications (40%), Referee Credibility &amp; Statement Alignment (20%).</t>
        </is>
      </c>
      <c r="T26" s="3" t="inlineStr">
        <is>
          <t>Exceptional STEM graduates who have prior undergraduate laboratory exposure, strong physics/coding/biology backgrounds, and clear ambitions for industrial or academic research careers.</t>
        </is>
      </c>
      <c r="U26" s="3" t="n"/>
      <c r="V26" s="3" t="inlineStr">
        <is>
          <t>https://www.a-star.edu.sg/scholarships/for-graduate-studies/singapore-international-graduate-award-singa</t>
        </is>
      </c>
      <c r="W26" s="3" t="n"/>
      <c r="X26" s="3" t="n"/>
      <c r="Y26" s="3" t="n"/>
      <c r="Z26" s="3" t="inlineStr">
        <is>
          <t>STEM, Research</t>
        </is>
      </c>
      <c r="AA26" s="4" t="n"/>
      <c r="AB26" s="4" t="n"/>
      <c r="AC26" s="3">
        <f>IF(AND(E26&lt;&gt;"",COUNTIF($E$2:$E$800,E26)&gt;1),"DUPLICATE","")</f>
        <v/>
      </c>
    </row>
    <row r="27" ht="57.6" customHeight="1">
      <c r="A27" s="3" t="inlineStr">
        <is>
          <t>hong-kong-phd-fellowship-scheme-hkpfs-phd</t>
        </is>
      </c>
      <c r="B27" s="3" t="inlineStr">
        <is>
          <t>Open</t>
        </is>
      </c>
      <c r="C27" s="3" t="n"/>
      <c r="D27" s="3" t="inlineStr">
        <is>
          <t>Scholarship</t>
        </is>
      </c>
      <c r="E27" s="3" t="inlineStr">
        <is>
          <t>Hong Kong PhD Fellowship Scheme (HKPFS)</t>
        </is>
      </c>
      <c r="F27" s="3" t="inlineStr">
        <is>
          <t>RGC — Hong Kong</t>
        </is>
      </c>
      <c r="G27" s="3" t="inlineStr">
        <is>
          <t>Asia</t>
        </is>
      </c>
      <c r="H27" s="3" t="inlineStr">
        <is>
          <t>Hong Kong</t>
        </is>
      </c>
      <c r="I27" s="3" t="inlineStr">
        <is>
          <t>PhD</t>
        </is>
      </c>
      <c r="J27" s="3" t="inlineStr">
        <is>
          <t>All fields</t>
        </is>
      </c>
      <c r="K27" s="3" t="inlineStr">
        <is>
          <t>Stipend</t>
        </is>
      </c>
      <c r="L27" s="3" t="inlineStr">
        <is>
          <t>Generous Support (HK$331,600 / ~USD 42,500 annual stipend + HK$13,600/yr conference/travel allowance for 3 years)</t>
        </is>
      </c>
      <c r="M27" s="3" t="inlineStr">
        <is>
          <t>December (Annual cycle)</t>
        </is>
      </c>
      <c r="N27" s="3" t="inlineStr">
        <is>
          <t>Exceptional academic performance and research ability at world-ranked Hong Kong universities (HKU, CUHK, HKUST, CityU, PolyU, HKBU).</t>
        </is>
      </c>
      <c r="O27" s="3" t="inlineStr">
        <is>
          <t>Very High: Detailed Research Proposal + Academic Publications/Awards + 2 Expert Referee Reports</t>
        </is>
      </c>
      <c r="P27" s="3" t="inlineStr">
        <is>
          <t>Top-Tier Global PhD Researchers in Any Discipline</t>
        </is>
      </c>
      <c r="Q27" s="3" t="n"/>
      <c r="R27" s="3" t="n"/>
      <c r="S27" s="3" t="n"/>
      <c r="T27" s="3" t="n"/>
      <c r="U27" s="3" t="n"/>
      <c r="V27" s="3" t="n"/>
      <c r="W27" s="3" t="n"/>
      <c r="X27" s="3" t="n"/>
      <c r="Y27" s="3" t="n"/>
      <c r="Z27" s="3" t="inlineStr">
        <is>
          <t>Research</t>
        </is>
      </c>
      <c r="AA27" s="4" t="n"/>
      <c r="AB27" s="4" t="n"/>
      <c r="AC27" s="3">
        <f>IF(AND(E27&lt;&gt;"",COUNTIF($E$2:$E$800,E27)&gt;1),"DUPLICATE","")</f>
        <v/>
      </c>
    </row>
    <row r="28" ht="129.6" customHeight="1">
      <c r="A28" s="3" t="inlineStr">
        <is>
          <t>mext-university-recommendation-phd-scholarship-phd</t>
        </is>
      </c>
      <c r="B28" s="3" t="inlineStr">
        <is>
          <t>Open</t>
        </is>
      </c>
      <c r="C28" s="3" t="n"/>
      <c r="D28" s="3" t="inlineStr">
        <is>
          <t>Scholarship</t>
        </is>
      </c>
      <c r="E28" s="3" t="inlineStr">
        <is>
          <t>MEXT University Recommendation PhD Scholarship</t>
        </is>
      </c>
      <c r="F28" s="3" t="inlineStr">
        <is>
          <t>Top Japanese Imperial Universities — Tokyo, Kyoto, Osaka</t>
        </is>
      </c>
      <c r="G28" s="3" t="inlineStr">
        <is>
          <t>Asia</t>
        </is>
      </c>
      <c r="H28" s="3" t="inlineStr">
        <is>
          <t>Japan</t>
        </is>
      </c>
      <c r="I28" s="3" t="inlineStr">
        <is>
          <t>PhD</t>
        </is>
      </c>
      <c r="J28" s="3" t="inlineStr">
        <is>
          <t>All fields</t>
        </is>
      </c>
      <c r="K28" s="3" t="inlineStr">
        <is>
          <t>Full</t>
        </is>
      </c>
      <c r="L28" s="3" t="inlineStr">
        <is>
          <t>Full Ride (Tuition, ¥145,000/mo Stipend, Round-Trip Airfare)</t>
        </is>
      </c>
      <c r="M28" s="3" t="inlineStr">
        <is>
          <t>Dec – Feb (Handled directly via host university lab)</t>
        </is>
      </c>
      <c r="N28" s="3" t="inlineStr">
        <is>
          <t>Master’s degree; age under 35; accepted into a doctoral supervisor's lab at a participating Japanese national university.</t>
        </is>
      </c>
      <c r="O28" s="3" t="inlineStr">
        <is>
          <t>High: Official Acceptance from Japanese Professor + Detailed Doctoral Research Proposal</t>
        </is>
      </c>
      <c r="P28" s="3" t="inlineStr">
        <is>
          <t>Master's Graduates with Direct Professor Connections in Japan</t>
        </is>
      </c>
      <c r="Q28" s="3" t="inlineStr">
        <is>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is>
      </c>
      <c r="R28" s="3" t="inlineStr">
        <is>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is>
      </c>
      <c r="S28" s="3" t="inlineStr">
        <is>
          <t>Primary Screening by Embassies (Document review, English/Japanese written exams, and formal interview) → Secondary Screening by MEXT in Tokyo.</t>
        </is>
      </c>
      <c r="T28" s="3" t="inlineStr">
        <is>
          <t>Diligent science or humanities graduates who excel in embassy written exams and present a rigorous, feasible research proposal for their prospective Japanese laboratory.</t>
        </is>
      </c>
      <c r="U28" s="3" t="n"/>
      <c r="V28" s="3" t="inlineStr">
        <is>
          <t>https://www.studyinjapan.go.jp</t>
        </is>
      </c>
      <c r="W28" s="3" t="n"/>
      <c r="X28" s="3" t="n"/>
      <c r="Y28" s="3" t="n"/>
      <c r="Z28" s="3" t="n"/>
      <c r="AA28" s="4" t="n"/>
      <c r="AB28" s="4" t="n"/>
      <c r="AC28" s="3">
        <f>IF(AND(E28&lt;&gt;"",COUNTIF($E$2:$E$800,E28)&gt;1),"DUPLICATE","")</f>
        <v/>
      </c>
    </row>
    <row r="29" ht="43.2" customHeight="1">
      <c r="A29" s="3" t="inlineStr">
        <is>
          <t>mofa-taiwan-fellowship-phd</t>
        </is>
      </c>
      <c r="B29" s="3" t="inlineStr">
        <is>
          <t>Open</t>
        </is>
      </c>
      <c r="C29" s="3" t="n"/>
      <c r="D29" s="3" t="inlineStr">
        <is>
          <t>Scholarship</t>
        </is>
      </c>
      <c r="E29" s="3" t="inlineStr">
        <is>
          <t>MOFA Taiwan Fellowship</t>
        </is>
      </c>
      <c r="F29" s="3" t="inlineStr">
        <is>
          <t>Ministry of Foreign Affairs, Taiwan</t>
        </is>
      </c>
      <c r="G29" s="3" t="inlineStr">
        <is>
          <t>Asia</t>
        </is>
      </c>
      <c r="H29" s="3" t="inlineStr">
        <is>
          <t>Taiwan</t>
        </is>
      </c>
      <c r="I29" s="3" t="inlineStr">
        <is>
          <t>PhD</t>
        </is>
      </c>
      <c r="J29" s="3" t="inlineStr">
        <is>
          <t>Social Sciences &amp; Humanities</t>
        </is>
      </c>
      <c r="K29" s="3" t="inlineStr">
        <is>
          <t>Stipend</t>
        </is>
      </c>
      <c r="L29" s="3" t="inlineStr">
        <is>
          <t>Monthly Research Grant (NT$50,000 to NT$60,000 / ~$1,600–$2,000/mo + Airfare)</t>
        </is>
      </c>
      <c r="M29" s="3" t="inlineStr">
        <is>
          <t>June 30 (Annual call)</t>
        </is>
      </c>
      <c r="N29" s="3" t="inlineStr">
        <is>
          <t>Foreign professors, postdoctoral researchers, and PhD candidates conducting advanced research on Taiwan, cross-strait relations, or Indo-Pacific studies.</t>
        </is>
      </c>
      <c r="O29" s="3" t="inlineStr">
        <is>
          <t>Medium: Research Proposal + Curriculum Vitae + 2 Letters of Recommendation</t>
        </is>
      </c>
      <c r="P29" s="3" t="inlineStr">
        <is>
          <t>Advanced PhD Scholars and Researchers in Social Sciences/Humanities</t>
        </is>
      </c>
      <c r="Q29" s="3" t="n"/>
      <c r="R29" s="3" t="n"/>
      <c r="S29" s="3" t="n"/>
      <c r="T29" s="3" t="n"/>
      <c r="U29" s="3" t="n"/>
      <c r="V29" s="3" t="n"/>
      <c r="W29" s="3" t="n"/>
      <c r="X29" s="3" t="n"/>
      <c r="Y29" s="3" t="n"/>
      <c r="Z29" s="3" t="inlineStr">
        <is>
          <t>Research</t>
        </is>
      </c>
      <c r="AA29" s="4" t="n"/>
      <c r="AB29" s="4" t="n"/>
      <c r="AC29" s="3">
        <f>IF(AND(E29&lt;&gt;"",COUNTIF($E$2:$E$800,E29)&gt;1),"DUPLICATE","")</f>
        <v/>
      </c>
    </row>
    <row r="30" ht="72" customHeight="1">
      <c r="A30" s="3" t="inlineStr">
        <is>
          <t>stipendium-hungaricum-undergraduate-track-bachelor</t>
        </is>
      </c>
      <c r="B30" s="3" t="inlineStr">
        <is>
          <t>Open</t>
        </is>
      </c>
      <c r="C30" s="3" t="n"/>
      <c r="D30" s="3" t="inlineStr">
        <is>
          <t>Scholarship</t>
        </is>
      </c>
      <c r="E30" s="3" t="inlineStr">
        <is>
          <t>Stipendium Hungaricum (Undergraduate Track)</t>
        </is>
      </c>
      <c r="F30" s="3" t="inlineStr">
        <is>
          <t>Gov. of Hungary &amp; Tempus Public Foundation</t>
        </is>
      </c>
      <c r="G30" s="3" t="inlineStr">
        <is>
          <t>Europe</t>
        </is>
      </c>
      <c r="H30" s="3" t="inlineStr">
        <is>
          <t>Hungary</t>
        </is>
      </c>
      <c r="I30" s="3" t="inlineStr">
        <is>
          <t>Bachelor</t>
        </is>
      </c>
      <c r="J30" s="3" t="inlineStr">
        <is>
          <t>Engineering &amp; Technology, Health &amp; Life Sciences, Business, Economics &amp; Management, Architecture, Arts &amp; Design</t>
        </is>
      </c>
      <c r="K30" s="3" t="inlineStr">
        <is>
          <t>Full</t>
        </is>
      </c>
      <c r="L30" s="3" t="inlineStr">
        <is>
          <t>Full Ride (Tuition-free, Dormitory housing or housing allowance, HUF 43,700/mo stipend, Medical insurance)</t>
        </is>
      </c>
      <c r="M30" s="3" t="inlineStr">
        <is>
          <t>January 15 (Annual cycle)</t>
        </is>
      </c>
      <c r="N30" s="3" t="inlineStr">
        <is>
          <t>International students from eligible partner countries; high school diploma with good standing; fields spanning engineering, medicine, arts, and business.</t>
        </is>
      </c>
      <c r="O30" s="3" t="inlineStr">
        <is>
          <t>Medium: Online application + Medical Certificate + High School Transcripts + Motivation Letter</t>
        </is>
      </c>
      <c r="P30" s="3" t="inlineStr">
        <is>
          <t>High School Graduates Seeking Full Sponsorship in Central Europe</t>
        </is>
      </c>
      <c r="Q30" s="3" t="n"/>
      <c r="R30" s="3" t="n"/>
      <c r="S30" s="3" t="n"/>
      <c r="T30" s="3" t="n"/>
      <c r="U30" s="3" t="n"/>
      <c r="V30" s="3" t="n"/>
      <c r="W30" s="3" t="n"/>
      <c r="X30" s="3" t="n"/>
      <c r="Y30" s="3" t="n"/>
      <c r="Z30" s="3" t="inlineStr">
        <is>
          <t>STEM</t>
        </is>
      </c>
      <c r="AA30" s="4" t="n"/>
      <c r="AB30" s="4" t="n"/>
      <c r="AC30" s="3">
        <f>IF(AND(E30&lt;&gt;"",COUNTIF($E$2:$E$800,E30)&gt;1),"DUPLICATE","")</f>
        <v/>
      </c>
    </row>
    <row r="31" ht="57.6" customHeight="1">
      <c r="A31" s="3" t="inlineStr">
        <is>
          <t>t-rkiye-burslar-undergraduate-scholarship-bachelor</t>
        </is>
      </c>
      <c r="B31" s="3" t="inlineStr">
        <is>
          <t>Open</t>
        </is>
      </c>
      <c r="C31" s="3" t="n"/>
      <c r="D31" s="3" t="inlineStr">
        <is>
          <t>Scholarship</t>
        </is>
      </c>
      <c r="E31" s="3" t="inlineStr">
        <is>
          <t>Türkiye Bursları Undergraduate Scholarship</t>
        </is>
      </c>
      <c r="F31" s="3" t="inlineStr">
        <is>
          <t>Government of Turkey</t>
        </is>
      </c>
      <c r="G31" s="3" t="inlineStr">
        <is>
          <t>Europe</t>
        </is>
      </c>
      <c r="H31" s="3" t="inlineStr">
        <is>
          <t>Turkey</t>
        </is>
      </c>
      <c r="I31" s="3" t="inlineStr">
        <is>
          <t>Bachelor</t>
        </is>
      </c>
      <c r="J31" s="3" t="inlineStr">
        <is>
          <t>Health &amp; Life Sciences</t>
        </is>
      </c>
      <c r="K31" s="3" t="inlineStr">
        <is>
          <t>Full</t>
        </is>
      </c>
      <c r="L31" s="3" t="inlineStr">
        <is>
          <t>Full Ride (Tuition, University Placement, Accommodation, Health Insurance, Turkish Language Course, Airfare)</t>
        </is>
      </c>
      <c r="M31" s="3" t="inlineStr">
        <is>
          <t>February 20 (Annual cycle)</t>
        </is>
      </c>
      <c r="N31" s="3" t="inlineStr">
        <is>
          <t>International students worldwide; high school graduate; age under 21; minimum 70% grade average for general tracks (90% for medical tracks).</t>
        </is>
      </c>
      <c r="O31" s="3" t="inlineStr">
        <is>
          <t>High: Online Application + Letter of Intent + Reference Letters + Extracurricular Portfolio</t>
        </is>
      </c>
      <c r="P31" s="3" t="inlineStr">
        <is>
          <t>High School Seniors Under 21 Seeking Comprehensive State Funding</t>
        </is>
      </c>
      <c r="Q31" s="3" t="n"/>
      <c r="R31" s="3" t="n"/>
      <c r="S31" s="3" t="n"/>
      <c r="T31" s="3" t="n"/>
      <c r="U31" s="3" t="n"/>
      <c r="V31" s="3" t="n"/>
      <c r="W31" s="3" t="n"/>
      <c r="X31" s="3" t="n"/>
      <c r="Y31" s="3" t="n"/>
      <c r="Z31" s="3" t="n"/>
      <c r="AA31" s="4" t="n"/>
      <c r="AB31" s="4" t="n"/>
      <c r="AC31" s="3">
        <f>IF(AND(E31&lt;&gt;"",COUNTIF($E$2:$E$800,E31)&gt;1),"DUPLICATE","")</f>
        <v/>
      </c>
    </row>
    <row r="32" ht="57.6" customHeight="1">
      <c r="A32" s="3" t="inlineStr">
        <is>
          <t>nl-scholarship-holland-scholarship-bachelor</t>
        </is>
      </c>
      <c r="B32" s="3" t="inlineStr">
        <is>
          <t>Open</t>
        </is>
      </c>
      <c r="C32" s="3" t="n"/>
      <c r="D32" s="3" t="inlineStr">
        <is>
          <t>Scholarship</t>
        </is>
      </c>
      <c r="E32" s="3" t="inlineStr">
        <is>
          <t>NL Scholarship (Holland Scholarship)</t>
        </is>
      </c>
      <c r="F32" s="3" t="inlineStr">
        <is>
          <t>Dutch Ministry of Education &amp; Dutch Universities</t>
        </is>
      </c>
      <c r="G32" s="3" t="inlineStr">
        <is>
          <t>Europe</t>
        </is>
      </c>
      <c r="H32" s="3" t="inlineStr">
        <is>
          <t>Netherlands</t>
        </is>
      </c>
      <c r="I32" s="3" t="inlineStr">
        <is>
          <t>Bachelor</t>
        </is>
      </c>
      <c r="J32" s="3" t="inlineStr">
        <is>
          <t>Mathematics &amp; Natural Sciences</t>
        </is>
      </c>
      <c r="K32" s="3" t="inlineStr">
        <is>
          <t>Partial</t>
        </is>
      </c>
      <c r="L32" s="3" t="inlineStr">
        <is>
          <t>€5,000 Partial Grant (Paid out as a lump sum during the first year of study)</t>
        </is>
      </c>
      <c r="M32" s="3" t="inlineStr">
        <is>
          <t>May 1 or June 1 (Varies by participating Dutch university)</t>
        </is>
      </c>
      <c r="N32" s="3" t="inlineStr">
        <is>
          <t>Non-EEA international students admitted to a participating Bachelor’s or Master’s program at a Dutch research university or university of applied sciences.</t>
        </is>
      </c>
      <c r="O32" s="3" t="inlineStr">
        <is>
          <t>Low-Medium: University Admission + Separate NL Scholarship Motivation Statement</t>
        </is>
      </c>
      <c r="P32" s="3" t="inlineStr">
        <is>
          <t>Students Seeking Partial Support in the Netherlands</t>
        </is>
      </c>
      <c r="Q32" s="3" t="n"/>
      <c r="R32" s="3" t="n"/>
      <c r="S32" s="3" t="n"/>
      <c r="T32" s="3" t="n"/>
      <c r="U32" s="3" t="n"/>
      <c r="V32" s="3" t="n"/>
      <c r="W32" s="3" t="n"/>
      <c r="X32" s="3" t="n"/>
      <c r="Y32" s="3" t="n"/>
      <c r="Z32" s="3" t="inlineStr">
        <is>
          <t>STEM</t>
        </is>
      </c>
      <c r="AA32" s="4" t="n"/>
      <c r="AB32" s="4" t="n"/>
      <c r="AC32" s="3">
        <f>IF(AND(E32&lt;&gt;"",COUNTIF($E$2:$E$800,E32)&gt;1),"DUPLICATE","")</f>
        <v/>
      </c>
    </row>
    <row r="33" ht="144" customHeight="1">
      <c r="A33" s="3" t="inlineStr">
        <is>
          <t>erasmus-mundus-joint-master-s-emjm-master</t>
        </is>
      </c>
      <c r="B33" s="3" t="inlineStr">
        <is>
          <t>Open</t>
        </is>
      </c>
      <c r="C33" s="3" t="n"/>
      <c r="D33" s="3" t="inlineStr">
        <is>
          <t>Scholarship</t>
        </is>
      </c>
      <c r="E33" s="3" t="inlineStr">
        <is>
          <t>Erasmus Mundus Joint Master’s (EMJM)</t>
        </is>
      </c>
      <c r="F33" s="3" t="inlineStr">
        <is>
          <t>European Union</t>
        </is>
      </c>
      <c r="G33" s="3" t="inlineStr">
        <is>
          <t>Europe</t>
        </is>
      </c>
      <c r="H33" s="3" t="n"/>
      <c r="I33" s="3" t="inlineStr">
        <is>
          <t>Master</t>
        </is>
      </c>
      <c r="J33" s="3" t="inlineStr">
        <is>
          <t>All fields</t>
        </is>
      </c>
      <c r="K33" s="3" t="inlineStr">
        <is>
          <t>Full</t>
        </is>
      </c>
      <c r="L33" s="3" t="inlineStr">
        <is>
          <t>Full Ride (€1,400/month living allowance + full tuition waiver + travel &amp; installation costs)</t>
        </is>
      </c>
      <c r="M33" s="3" t="inlineStr">
        <is>
          <t>Oct – Jan (Varies by individual consortium programme; e.g., Dec/Jan)</t>
        </is>
      </c>
      <c r="N33" s="3" t="inlineStr">
        <is>
          <t>Open to all nationalities worldwide; holder of a Bachelor’s degree; excellent academic record; study across 2 to 4 different European universities.</t>
        </is>
      </c>
      <c r="O33" s="3" t="inlineStr">
        <is>
          <t>High: Tailored Motivation Letters per Consortium + CV + 2 Recommendation Letters + English Proof</t>
        </is>
      </c>
      <c r="P33" s="3" t="inlineStr">
        <is>
          <t>Elite Master's Candidates Wanting Multi-Country European Mobility</t>
        </is>
      </c>
      <c r="Q33" s="3" t="inlineStr">
        <is>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is>
      </c>
      <c r="R33" s="3" t="inlineStr">
        <is>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is>
      </c>
      <c r="S33" s="3" t="inlineStr">
        <is>
          <t>Academic excellence &amp; GPA (40%), Relevance of background field &amp; work experience (30%), Quality of motivation letter &amp; recommendation strength (30%).</t>
        </is>
      </c>
      <c r="T33" s="3" t="inlineStr">
        <is>
          <t>Globally minded graduates with strong interdisciplinary backgrounds who articulate clear cross-cultural adaptability and clear career goals in international organizations, research, or industry.</t>
        </is>
      </c>
      <c r="U33" s="3" t="n"/>
      <c r="V33" s="3" t="inlineStr">
        <is>
          <t>https://www.eacea.ec.europa.eu/scholarships/erasmus-mundus-catalogue_en</t>
        </is>
      </c>
      <c r="W33" s="3" t="n"/>
      <c r="X33" s="3" t="n"/>
      <c r="Y33" s="3" t="n"/>
      <c r="Z33" s="3" t="n"/>
      <c r="AA33" s="4" t="n"/>
      <c r="AB33" s="4" t="n"/>
      <c r="AC33" s="3">
        <f>IF(AND(E33&lt;&gt;"",COUNTIF($E$2:$E$800,E33)&gt;1),"DUPLICATE","")</f>
        <v/>
      </c>
    </row>
    <row r="34" ht="129.6" customHeight="1">
      <c r="A34" s="3" t="inlineStr">
        <is>
          <t>france-excellence-eiffel-scholarship-master</t>
        </is>
      </c>
      <c r="B34" s="3" t="inlineStr">
        <is>
          <t>Open</t>
        </is>
      </c>
      <c r="C34" s="3" t="n"/>
      <c r="D34" s="3" t="inlineStr">
        <is>
          <t>Scholarship</t>
        </is>
      </c>
      <c r="E34" s="3" t="inlineStr">
        <is>
          <t>France Excellence Eiffel Scholarship</t>
        </is>
      </c>
      <c r="F34" s="3" t="inlineStr">
        <is>
          <t>French Ministry for Europe and Foreign Affairs</t>
        </is>
      </c>
      <c r="G34" s="3" t="inlineStr">
        <is>
          <t>Europe</t>
        </is>
      </c>
      <c r="H34" s="3" t="inlineStr">
        <is>
          <t>France</t>
        </is>
      </c>
      <c r="I34" s="3" t="inlineStr">
        <is>
          <t>Master</t>
        </is>
      </c>
      <c r="J34" s="3" t="inlineStr">
        <is>
          <t>Education</t>
        </is>
      </c>
      <c r="K34" s="3" t="inlineStr">
        <is>
          <t>Full</t>
        </is>
      </c>
      <c r="L34" s="3" t="inlineStr">
        <is>
          <t>Full Support (€1,200/month living stipend for Master’s + international airfare + health insurance + cultural activities)</t>
        </is>
      </c>
      <c r="M34" s="3" t="inlineStr">
        <is>
          <t>January 6 (Internal university deadlines are typically Nov/Dec)</t>
        </is>
      </c>
      <c r="N34" s="3" t="inlineStr">
        <is>
          <t>International students; age under 29 for Master’s; nominated directly by a French higher education institution in 7 priority fields.</t>
        </is>
      </c>
      <c r="O34" s="3" t="inlineStr">
        <is>
          <t>Very High: University Admission Dossier + Institutional Nomination by French University</t>
        </is>
      </c>
      <c r="P34" s="3" t="inlineStr">
        <is>
          <t>High-Achieving Master's Applicants to French Universities</t>
        </is>
      </c>
      <c r="Q34" s="3" t="inlineStr">
        <is>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is>
      </c>
      <c r="R34" s="3" t="inlineStr">
        <is>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is>
      </c>
      <c r="S34" s="3" t="inlineStr">
        <is>
          <t>Academic excellence of the student (evaluated by expert committees in France), institutional internationalization strategy, and economic relevance of the applicant's professional project to their home country.</t>
        </is>
      </c>
      <c r="T34" s="3" t="inlineStr">
        <is>
          <t>Exceptional international applicants who initiate contact with French department heads early in Autumn to secure institutional sponsorship before the January deadline.</t>
        </is>
      </c>
      <c r="U34" s="3" t="n"/>
      <c r="V34" s="3" t="inlineStr">
        <is>
          <t>https://www.campusfrance.org/en/eiffel-scholarship-program</t>
        </is>
      </c>
      <c r="W34" s="3" t="n"/>
      <c r="X34" s="3" t="n"/>
      <c r="Y34" s="3" t="n"/>
      <c r="Z34" s="3" t="n"/>
      <c r="AA34" s="4" t="n"/>
      <c r="AB34" s="4" t="n"/>
      <c r="AC34" s="3">
        <f>IF(AND(E34&lt;&gt;"",COUNTIF($E$2:$E$800,E34)&gt;1),"DUPLICATE","")</f>
        <v/>
      </c>
    </row>
    <row r="35" ht="158.4" customHeight="1">
      <c r="A35" s="3" t="inlineStr">
        <is>
          <t>daad-study-scholarships-master-s-epos-general-master</t>
        </is>
      </c>
      <c r="B35" s="3" t="inlineStr">
        <is>
          <t>Open</t>
        </is>
      </c>
      <c r="C35" s="3" t="n"/>
      <c r="D35" s="3" t="inlineStr">
        <is>
          <t>Scholarship</t>
        </is>
      </c>
      <c r="E35" s="3" t="inlineStr">
        <is>
          <t>DAAD Study Scholarships – Master’s (EPOS &amp; General)</t>
        </is>
      </c>
      <c r="F35" s="3" t="inlineStr">
        <is>
          <t>German Academic Exchange Service</t>
        </is>
      </c>
      <c r="G35" s="3" t="inlineStr">
        <is>
          <t>Europe</t>
        </is>
      </c>
      <c r="H35" s="3" t="inlineStr">
        <is>
          <t>Germany</t>
        </is>
      </c>
      <c r="I35" s="3" t="inlineStr">
        <is>
          <t>Master</t>
        </is>
      </c>
      <c r="J35" s="3" t="inlineStr">
        <is>
          <t>All fields</t>
        </is>
      </c>
      <c r="K35" s="3" t="inlineStr">
        <is>
          <t>Full</t>
        </is>
      </c>
      <c r="L35" s="3" t="inlineStr">
        <is>
          <t>Full/Stipend Support (€992/month living allowance + health insurance + travel subsidy)</t>
        </is>
      </c>
      <c r="M35" s="3" t="inlineStr">
        <is>
          <t>Staggered (Varies by specific course or country window, typically Aug–Oct)</t>
        </is>
      </c>
      <c r="N35" s="3" t="inlineStr">
        <is>
          <t>Bachelor’s degree holder; professional experience required for EPOS development-related courses (usually 2 years); strong academic standing.</t>
        </is>
      </c>
      <c r="O35" s="3" t="inlineStr">
        <is>
          <t>High: DAAD Portal Application + University Admission + CV + Motivation Letter + References</t>
        </is>
      </c>
      <c r="P35" s="3" t="inlineStr">
        <is>
          <t>Graduates and Professionals Seeking Study in Germany</t>
        </is>
      </c>
      <c r="Q35" s="3" t="inlineStr">
        <is>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is>
      </c>
      <c r="R35" s="3" t="inlineStr">
        <is>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is>
      </c>
      <c r="S35" s="3" t="inlineStr">
        <is>
          <t>Academic achievement &amp; qualification (50%), Quality of study project / motivation (30%), Professional and personal suitability (20%).</t>
        </is>
      </c>
      <c r="T35" s="3" t="inlineStr">
        <is>
          <t>Highly structured candidates with clear research or career roadmaps who match German academic standards and secure university admission or professorial backing well in advance.</t>
        </is>
      </c>
      <c r="U35" s="3" t="n"/>
      <c r="V35" s="3" t="inlineStr">
        <is>
          <t>https://www.daad.de/en/study-and-research-in-germany/scholarships/</t>
        </is>
      </c>
      <c r="W35" s="3" t="n"/>
      <c r="X35" s="3" t="n"/>
      <c r="Y35" s="3" t="n"/>
      <c r="Z35" s="3" t="inlineStr">
        <is>
          <t>Work experience</t>
        </is>
      </c>
      <c r="AA35" s="4" t="n"/>
      <c r="AB35" s="4" t="n"/>
      <c r="AC35" s="3">
        <f>IF(AND(E35&lt;&gt;"",COUNTIF($E$2:$E$800,E35)&gt;1),"DUPLICATE","")</f>
        <v/>
      </c>
    </row>
    <row r="36" ht="129.6" customHeight="1">
      <c r="A36" s="3" t="inlineStr">
        <is>
          <t>eth-zurich-excellence-scholarship-opportunity-programme-esop</t>
        </is>
      </c>
      <c r="B36" s="3" t="inlineStr">
        <is>
          <t>Open</t>
        </is>
      </c>
      <c r="C36" s="3" t="n"/>
      <c r="D36" s="3" t="inlineStr">
        <is>
          <t>Scholarship</t>
        </is>
      </c>
      <c r="E36" s="3" t="inlineStr">
        <is>
          <t>ETH Zurich Excellence Scholarship &amp; Opportunity Programme (ESOP)</t>
        </is>
      </c>
      <c r="F36" s="3" t="inlineStr">
        <is>
          <t>ETH Zurich, Switzerland</t>
        </is>
      </c>
      <c r="G36" s="3" t="inlineStr">
        <is>
          <t>Europe</t>
        </is>
      </c>
      <c r="H36" s="3" t="inlineStr">
        <is>
          <t>Switzerland</t>
        </is>
      </c>
      <c r="I36" s="3" t="inlineStr">
        <is>
          <t>Master</t>
        </is>
      </c>
      <c r="J36" s="3" t="inlineStr">
        <is>
          <t>All fields</t>
        </is>
      </c>
      <c r="K36" s="3" t="inlineStr">
        <is>
          <t>Full</t>
        </is>
      </c>
      <c r="L36" s="3" t="inlineStr">
        <is>
          <t>Full Fellowship (CHF 12,000 per semester living/study allowance + complete tuition fee waiver)</t>
        </is>
      </c>
      <c r="M36" s="3" t="inlineStr">
        <is>
          <t>November 30 (For following Autumn intake)</t>
        </is>
      </c>
      <c r="N36" s="3" t="inlineStr">
        <is>
          <t>Excellent Master’s applicants belonging to the top 10% of their Bachelor’s graduating class; exceptional academic performance.</t>
        </is>
      </c>
      <c r="O36" s="3" t="inlineStr">
        <is>
          <t>Very High: Master's Admission Application + Pre-proposal / ESOP Pre-proposal Statement</t>
        </is>
      </c>
      <c r="P36" s="3" t="inlineStr">
        <is>
          <t>Top-Tier STEM &amp; Tech Graduates Targeting Switzerland</t>
        </is>
      </c>
      <c r="Q36" s="3" t="inlineStr">
        <is>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is>
      </c>
      <c r="R36" s="3" t="inlineStr">
        <is>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is>
      </c>
      <c r="S36" s="3" t="inlineStr">
        <is>
          <t>Absolute academic standing in Bachelor's degree (top 10% threshold), quality of motivation, and innovative research potential.</t>
        </is>
      </c>
      <c r="T36" s="3" t="inlineStr">
        <is>
          <t>Valedictorians and top-ranked engineering, physics, and computer science graduates from international universities with undergraduate research publications or advanced capstone projects.</t>
        </is>
      </c>
      <c r="U36" s="3" t="n"/>
      <c r="V36" s="3" t="inlineStr">
        <is>
          <t>https://ethz.ch/students/en/studies/financial/scholarships/excellencescholarship.html</t>
        </is>
      </c>
      <c r="W36" s="3" t="n"/>
      <c r="X36" s="3" t="n"/>
      <c r="Y36" s="3" t="n"/>
      <c r="Z36" s="3" t="n"/>
      <c r="AA36" s="4" t="n"/>
      <c r="AB36" s="4" t="n"/>
      <c r="AC36" s="3">
        <f>IF(AND(E36&lt;&gt;"",COUNTIF($E$2:$E$800,E36)&gt;1),"DUPLICATE","")</f>
        <v/>
      </c>
    </row>
    <row r="37" ht="57.6" customHeight="1">
      <c r="A37" s="3" t="inlineStr">
        <is>
          <t>commonwealth-master-s-scholarships-uk-master</t>
        </is>
      </c>
      <c r="B37" s="3" t="inlineStr">
        <is>
          <t>Open</t>
        </is>
      </c>
      <c r="C37" s="3" t="n"/>
      <c r="D37" s="3" t="inlineStr">
        <is>
          <t>Scholarship</t>
        </is>
      </c>
      <c r="E37" s="3" t="inlineStr">
        <is>
          <t>Commonwealth Master's Scholarships (UK)</t>
        </is>
      </c>
      <c r="F37" s="3" t="inlineStr">
        <is>
          <t>UK Foreign, Commonwealth &amp; Development Office</t>
        </is>
      </c>
      <c r="G37" s="3" t="inlineStr">
        <is>
          <t>Europe</t>
        </is>
      </c>
      <c r="H37" s="3" t="inlineStr">
        <is>
          <t>Ghana, Kenya, Nigeria, United Kingdom</t>
        </is>
      </c>
      <c r="I37" s="3" t="inlineStr">
        <is>
          <t>Master</t>
        </is>
      </c>
      <c r="J37" s="3" t="inlineStr">
        <is>
          <t>All fields</t>
        </is>
      </c>
      <c r="K37" s="3" t="inlineStr">
        <is>
          <t>Full</t>
        </is>
      </c>
      <c r="L37" s="3" t="inlineStr">
        <is>
          <t>Full Ride (Full tuition fees, £1,712 to £2,000/month stipend, return airfare, study travel grant)</t>
        </is>
      </c>
      <c r="M37" s="3" t="inlineStr">
        <is>
          <t>October 20 (Via national nominating agency and CSC system)</t>
        </is>
      </c>
      <c r="N37" s="3" t="inlineStr">
        <is>
          <t>Citizens/permanent residents of eligible developing Commonwealth countries (e.g., India, Kenya, Nigeria, Bangladesh, Tanzania, Uganda, Ghana).</t>
        </is>
      </c>
      <c r="O37" s="3" t="inlineStr">
        <is>
          <t>High: National Nominating Agency Screening + CSC Online Application Portal System</t>
        </is>
      </c>
      <c r="P37" s="3" t="inlineStr">
        <is>
          <t>Mid-Level Professionals from Eligible Commonwealth Nations</t>
        </is>
      </c>
      <c r="Q37" s="3" t="n"/>
      <c r="R37" s="3" t="n"/>
      <c r="S37" s="3" t="n"/>
      <c r="T37" s="3" t="n"/>
      <c r="U37" s="3" t="n"/>
      <c r="V37" s="3" t="n"/>
      <c r="W37" s="3" t="n"/>
      <c r="X37" s="3" t="n"/>
      <c r="Y37" s="3" t="n"/>
      <c r="Z37" s="3" t="n"/>
      <c r="AA37" s="4" t="n"/>
      <c r="AB37" s="4" t="n"/>
      <c r="AC37" s="3">
        <f>IF(AND(E37&lt;&gt;"",COUNTIF($E$2:$E$800,E37)&gt;1),"DUPLICATE","")</f>
        <v/>
      </c>
    </row>
    <row r="38" ht="57.6" customHeight="1">
      <c r="A38" s="3" t="inlineStr">
        <is>
          <t>swiss-government-excellence-scholarships-phd-research-phd</t>
        </is>
      </c>
      <c r="B38" s="3" t="inlineStr">
        <is>
          <t>Open</t>
        </is>
      </c>
      <c r="C38" s="3" t="n"/>
      <c r="D38" s="3" t="inlineStr">
        <is>
          <t>Scholarship</t>
        </is>
      </c>
      <c r="E38" s="3" t="inlineStr">
        <is>
          <t>Swiss Government Excellence Scholarships (PhD &amp; Research)</t>
        </is>
      </c>
      <c r="F38" s="3" t="inlineStr">
        <is>
          <t>Swiss Federal Commission</t>
        </is>
      </c>
      <c r="G38" s="3" t="inlineStr">
        <is>
          <t>Europe</t>
        </is>
      </c>
      <c r="H38" s="3" t="inlineStr">
        <is>
          <t>Switzerland</t>
        </is>
      </c>
      <c r="I38" s="3" t="inlineStr">
        <is>
          <t>PhD</t>
        </is>
      </c>
      <c r="J38" s="3" t="inlineStr">
        <is>
          <t>All fields</t>
        </is>
      </c>
      <c r="K38" s="3" t="inlineStr">
        <is>
          <t>Stipend</t>
        </is>
      </c>
      <c r="L38" s="3" t="inlineStr">
        <is>
          <t>Monthly Stipend &amp; Allowances (CHF 2,450/month living allowance + housing allowance + health insurance)</t>
        </is>
      </c>
      <c r="M38" s="3" t="inlineStr">
        <is>
          <t>Autumn (Varies by country, typically Sept–Dec)</t>
        </is>
      </c>
      <c r="N38" s="3" t="inlineStr">
        <is>
          <t>Postgraduate researchers holding a Master’s degree; doctoral candidates or postdoctoral researchers; mandatory acceptance letter from a Swiss professor.</t>
        </is>
      </c>
      <c r="O38" s="3" t="inlineStr">
        <is>
          <t>Very High: Comprehensive Research Proposal + Academic Supervisor Acceptance Letter + Official Transcripts</t>
        </is>
      </c>
      <c r="P38" s="3" t="inlineStr">
        <is>
          <t>Doctoral Researchers with Established Swiss Laboratory Contacts</t>
        </is>
      </c>
      <c r="Q38" s="3" t="n"/>
      <c r="R38" s="3" t="n"/>
      <c r="S38" s="3" t="n"/>
      <c r="T38" s="3" t="n"/>
      <c r="U38" s="3" t="n"/>
      <c r="V38" s="3" t="n"/>
      <c r="W38" s="3" t="n"/>
      <c r="X38" s="3" t="n"/>
      <c r="Y38" s="3" t="n"/>
      <c r="Z38" s="3" t="inlineStr">
        <is>
          <t>Research</t>
        </is>
      </c>
      <c r="AA38" s="4" t="n"/>
      <c r="AB38" s="4" t="n"/>
      <c r="AC38" s="3">
        <f>IF(AND(E38&lt;&gt;"",COUNTIF($E$2:$E$800,E38)&gt;1),"DUPLICATE","")</f>
        <v/>
      </c>
    </row>
    <row r="39" ht="158.4" customHeight="1">
      <c r="A39" s="3" t="inlineStr">
        <is>
          <t>daad-doctoral-programmes-in-germany-phd</t>
        </is>
      </c>
      <c r="B39" s="3" t="inlineStr">
        <is>
          <t>Open</t>
        </is>
      </c>
      <c r="C39" s="3" t="n"/>
      <c r="D39" s="3" t="inlineStr">
        <is>
          <t>Scholarship</t>
        </is>
      </c>
      <c r="E39" s="3" t="inlineStr">
        <is>
          <t>DAAD Doctoral Programmes in Germany</t>
        </is>
      </c>
      <c r="F39" s="3" t="inlineStr">
        <is>
          <t>German Academic Exchange Service</t>
        </is>
      </c>
      <c r="G39" s="3" t="inlineStr">
        <is>
          <t>Europe</t>
        </is>
      </c>
      <c r="H39" s="3" t="inlineStr">
        <is>
          <t>Germany</t>
        </is>
      </c>
      <c r="I39" s="3" t="inlineStr">
        <is>
          <t>PhD</t>
        </is>
      </c>
      <c r="J39" s="3" t="inlineStr">
        <is>
          <t>All fields</t>
        </is>
      </c>
      <c r="K39" s="3" t="inlineStr">
        <is>
          <t>Stipend</t>
        </is>
      </c>
      <c r="L39" s="3" t="inlineStr">
        <is>
          <t>Doctoral Grant (€1,300/month stipend + health insurance + family/rental allowances where applicable)</t>
        </is>
      </c>
      <c r="M39" s="3" t="inlineStr">
        <is>
          <t>Staggered (Multiple deadlines throughout the academic year)</t>
        </is>
      </c>
      <c r="N39" s="3" t="inlineStr">
        <is>
          <t>Master’s degree holder; accepted into a structured PhD program or holding a binding commitment from a German academic supervisor (Doktorvater/mutter).</t>
        </is>
      </c>
      <c r="O39" s="3" t="inlineStr">
        <is>
          <t>High: Detailed Doctoral Research Project Proposal + CV + University Supervisor Zusage</t>
        </is>
      </c>
      <c r="P39" s="3" t="inlineStr">
        <is>
          <t>Advanced Researchers Ready for German Doctoral Study</t>
        </is>
      </c>
      <c r="Q39" s="3" t="inlineStr">
        <is>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is>
      </c>
      <c r="R39" s="3" t="inlineStr">
        <is>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is>
      </c>
      <c r="S39" s="3" t="inlineStr">
        <is>
          <t>Academic achievement &amp; qualification (50%), Quality of study project / motivation (30%), Professional and personal suitability (20%).</t>
        </is>
      </c>
      <c r="T39" s="3" t="inlineStr">
        <is>
          <t>Highly structured candidates with clear research or career roadmaps who match German academic standards and secure university admission or professorial backing well in advance.</t>
        </is>
      </c>
      <c r="U39" s="3" t="n"/>
      <c r="V39" s="3" t="inlineStr">
        <is>
          <t>https://www.daad.de/en/study-and-research-in-germany/scholarships/</t>
        </is>
      </c>
      <c r="W39" s="3" t="n"/>
      <c r="X39" s="3" t="n"/>
      <c r="Y39" s="3" t="n"/>
      <c r="Z39" s="3" t="n"/>
      <c r="AA39" s="4" t="n"/>
      <c r="AB39" s="4" t="n"/>
      <c r="AC39" s="3">
        <f>IF(AND(E39&lt;&gt;"",COUNTIF($E$2:$E$800,E39)&gt;1),"DUPLICATE","")</f>
        <v/>
      </c>
    </row>
    <row r="40" ht="129.6" customHeight="1">
      <c r="A40" s="3" t="inlineStr">
        <is>
          <t>eiffel-excellence-scholarship-phd-track-phd</t>
        </is>
      </c>
      <c r="B40" s="3" t="inlineStr">
        <is>
          <t>Open</t>
        </is>
      </c>
      <c r="C40" s="3" t="n"/>
      <c r="D40" s="3" t="inlineStr">
        <is>
          <t>Scholarship</t>
        </is>
      </c>
      <c r="E40" s="3" t="inlineStr">
        <is>
          <t>Eiffel Excellence Scholarship (PhD Track)</t>
        </is>
      </c>
      <c r="F40" s="3" t="inlineStr">
        <is>
          <t>French Ministry for Europe and Foreign Affairs</t>
        </is>
      </c>
      <c r="G40" s="3" t="inlineStr">
        <is>
          <t>Europe</t>
        </is>
      </c>
      <c r="H40" s="3" t="inlineStr">
        <is>
          <t>France</t>
        </is>
      </c>
      <c r="I40" s="3" t="inlineStr">
        <is>
          <t>PhD</t>
        </is>
      </c>
      <c r="J40" s="3" t="inlineStr">
        <is>
          <t>All fields</t>
        </is>
      </c>
      <c r="K40" s="3" t="inlineStr">
        <is>
          <t>Stipend</t>
        </is>
      </c>
      <c r="L40" s="3" t="inlineStr">
        <is>
          <t>Doctoral Fellowship (€2,000/month living stipend + international travel + health insurance)</t>
        </is>
      </c>
      <c r="M40" s="3" t="inlineStr">
        <is>
          <t>January 6 (Submitted by French host institutions)</t>
        </is>
      </c>
      <c r="N40" s="3" t="inlineStr">
        <is>
          <t>International PhD candidates; age under 35; co-tutelle or joint doctoral arrangements between French and home-country universities heavily favored.</t>
        </is>
      </c>
      <c r="O40" s="3" t="inlineStr">
        <is>
          <t>Very High: Joint Institutional Application Dossier submitted via Campus France platform by the university.</t>
        </is>
      </c>
      <c r="P40" s="3" t="inlineStr">
        <is>
          <t>Young International Doctoral Researchers Collaborating with French Labs</t>
        </is>
      </c>
      <c r="Q40" s="3" t="inlineStr">
        <is>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is>
      </c>
      <c r="R40" s="3" t="inlineStr">
        <is>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is>
      </c>
      <c r="S40" s="3" t="inlineStr">
        <is>
          <t>Academic excellence of the student (evaluated by expert committees in France), institutional internationalization strategy, and economic relevance of the applicant's professional project to their home country.</t>
        </is>
      </c>
      <c r="T40" s="3" t="inlineStr">
        <is>
          <t>Exceptional international applicants who initiate contact with French department heads early in Autumn to secure institutional sponsorship before the January deadline.</t>
        </is>
      </c>
      <c r="U40" s="3" t="n"/>
      <c r="V40" s="3" t="inlineStr">
        <is>
          <t>https://www.campusfrance.org/en/eiffel-scholarship-program</t>
        </is>
      </c>
      <c r="W40" s="3" t="n"/>
      <c r="X40" s="3" t="n"/>
      <c r="Y40" s="3" t="n"/>
      <c r="Z40" s="3" t="n"/>
      <c r="AA40" s="4" t="n"/>
      <c r="AB40" s="4" t="n"/>
      <c r="AC40" s="3">
        <f>IF(AND(E40&lt;&gt;"",COUNTIF($E$2:$E$800,E40)&gt;1),"DUPLICATE","")</f>
        <v/>
      </c>
    </row>
    <row r="41" ht="72" customHeight="1">
      <c r="A41" s="3" t="inlineStr">
        <is>
          <t>government-of-ireland-postgraduate-scholarship-scheme-phd</t>
        </is>
      </c>
      <c r="B41" s="3" t="inlineStr">
        <is>
          <t>Open</t>
        </is>
      </c>
      <c r="C41" s="3" t="n"/>
      <c r="D41" s="3" t="inlineStr">
        <is>
          <t>Scholarship</t>
        </is>
      </c>
      <c r="E41" s="3" t="inlineStr">
        <is>
          <t>Government of Ireland Postgraduate Scholarship Scheme</t>
        </is>
      </c>
      <c r="F41" s="3" t="inlineStr">
        <is>
          <t>IRC</t>
        </is>
      </c>
      <c r="G41" s="3" t="inlineStr">
        <is>
          <t>Europe</t>
        </is>
      </c>
      <c r="H41" s="3" t="inlineStr">
        <is>
          <t>Ireland</t>
        </is>
      </c>
      <c r="I41" s="3" t="inlineStr">
        <is>
          <t>PhD</t>
        </is>
      </c>
      <c r="J41" s="3" t="inlineStr">
        <is>
          <t>Education</t>
        </is>
      </c>
      <c r="K41" s="3" t="inlineStr">
        <is>
          <t>Full</t>
        </is>
      </c>
      <c r="L41" s="3" t="inlineStr">
        <is>
          <t>Full Research Support (Stipend of €28,000+ per year + contribution to fees up to €5,750 + direct research expense grant)</t>
        </is>
      </c>
      <c r="M41" s="3" t="inlineStr">
        <is>
          <t>October / November (Annual call)</t>
        </is>
      </c>
      <c r="N41" s="3" t="inlineStr">
        <is>
          <t>Open to all nationalities pursuing a research Master’s or PhD at an eligible higher education institution in Ireland.</t>
        </is>
      </c>
      <c r="O41" s="3" t="inlineStr">
        <is>
          <t>High: Detailed Research Proposal + 2 Confidential Academic Referees + Supervisor Form</t>
        </is>
      </c>
      <c r="P41" s="3" t="inlineStr">
        <is>
          <t>Independent Researchers Seeking Fully Funded Irish PhDs</t>
        </is>
      </c>
      <c r="Q41" s="3" t="n"/>
      <c r="R41" s="3" t="n"/>
      <c r="S41" s="3" t="n"/>
      <c r="T41" s="3" t="n"/>
      <c r="U41" s="3" t="n"/>
      <c r="V41" s="3" t="n"/>
      <c r="W41" s="3" t="n"/>
      <c r="X41" s="3" t="n"/>
      <c r="Y41" s="3" t="n"/>
      <c r="Z41" s="3" t="inlineStr">
        <is>
          <t>Research</t>
        </is>
      </c>
      <c r="AA41" s="4" t="n"/>
      <c r="AB41" s="4" t="n"/>
      <c r="AC41" s="3">
        <f>IF(AND(E41&lt;&gt;"",COUNTIF($E$2:$E$800,E41)&gt;1),"DUPLICATE","")</f>
        <v/>
      </c>
    </row>
    <row r="42" ht="129.6" customHeight="1">
      <c r="A42" s="3" t="inlineStr">
        <is>
          <t>lester-b-pearson-international-scholarship-bachelor</t>
        </is>
      </c>
      <c r="B42" s="3" t="inlineStr">
        <is>
          <t>Open</t>
        </is>
      </c>
      <c r="C42" s="3" t="n"/>
      <c r="D42" s="3" t="inlineStr">
        <is>
          <t>Scholarship</t>
        </is>
      </c>
      <c r="E42" s="3" t="inlineStr">
        <is>
          <t>Lester B. Pearson International Scholarship</t>
        </is>
      </c>
      <c r="F42" s="3" t="inlineStr">
        <is>
          <t>University of Toronto — Canada</t>
        </is>
      </c>
      <c r="G42" s="3" t="inlineStr">
        <is>
          <t>North America</t>
        </is>
      </c>
      <c r="H42" s="3" t="inlineStr">
        <is>
          <t>Canada</t>
        </is>
      </c>
      <c r="I42" s="3" t="inlineStr">
        <is>
          <t>Bachelor</t>
        </is>
      </c>
      <c r="J42" s="3" t="inlineStr">
        <is>
          <t>All fields</t>
        </is>
      </c>
      <c r="K42" s="3" t="inlineStr">
        <is>
          <t>Full</t>
        </is>
      </c>
      <c r="L42" s="3" t="inlineStr">
        <is>
          <t>Full Ride (Full Tuition, Books, Incidental Fees, and Full Residential Support for 4 years)</t>
        </is>
      </c>
      <c r="M42" s="3" t="inlineStr">
        <is>
          <t>November 6 (School nomination required by Oct)</t>
        </is>
      </c>
      <c r="N42" s="3" t="inlineStr">
        <is>
          <t>International secondary school student; exceptional academic achievement, creativity, and recognized leadership potential.</t>
        </is>
      </c>
      <c r="O42" s="3" t="inlineStr">
        <is>
          <t>Very High: School Nomination + UofT Admission Application + Pearson Scholarship Application Form</t>
        </is>
      </c>
      <c r="P42" s="3" t="inlineStr">
        <is>
          <t>Elite International High School Achievers Targeting Canada</t>
        </is>
      </c>
      <c r="Q42" s="3" t="inlineStr">
        <is>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is>
      </c>
      <c r="R42" s="3" t="inlineStr">
        <is>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is>
      </c>
      <c r="S42" s="3" t="inlineStr">
        <is>
          <t>Academic standing &amp; intellectual curiosity (40%), Leadership within school and community (40%), Originality and creative problem-solving (20%).</t>
        </is>
      </c>
      <c r="T42" s="3" t="inlineStr">
        <is>
          <t>Top-ranked high school seniors who lead student councils, found non-profit ventures, or excel in international olympiads alongside straight-A report cards.</t>
        </is>
      </c>
      <c r="U42" s="3" t="n"/>
      <c r="V42" s="3" t="inlineStr">
        <is>
          <t>https://future.utoronto.ca/pearson/</t>
        </is>
      </c>
      <c r="W42" s="3" t="n"/>
      <c r="X42" s="3" t="n"/>
      <c r="Y42" s="3" t="n"/>
      <c r="Z42" s="3" t="n"/>
      <c r="AA42" s="4" t="n"/>
      <c r="AB42" s="4" t="n"/>
      <c r="AC42" s="3">
        <f>IF(AND(E42&lt;&gt;"",COUNTIF($E$2:$E$800,E42)&gt;1),"DUPLICATE","")</f>
        <v/>
      </c>
    </row>
    <row r="43" ht="57.6" customHeight="1">
      <c r="A43" s="3" t="inlineStr">
        <is>
          <t>schulich-leader-scholarships-bachelor</t>
        </is>
      </c>
      <c r="B43" s="3" t="inlineStr">
        <is>
          <t>Open</t>
        </is>
      </c>
      <c r="C43" s="3" t="n"/>
      <c r="D43" s="3" t="inlineStr">
        <is>
          <t>Scholarship</t>
        </is>
      </c>
      <c r="E43" s="3" t="inlineStr">
        <is>
          <t>Schulich Leader Scholarships</t>
        </is>
      </c>
      <c r="F43" s="3" t="inlineStr">
        <is>
          <t>20 Partner Universities across Canada</t>
        </is>
      </c>
      <c r="G43" s="3" t="inlineStr">
        <is>
          <t>North America</t>
        </is>
      </c>
      <c r="H43" s="3" t="inlineStr">
        <is>
          <t>Canada</t>
        </is>
      </c>
      <c r="I43" s="3" t="inlineStr">
        <is>
          <t>Bachelor</t>
        </is>
      </c>
      <c r="J43" s="3" t="inlineStr">
        <is>
          <t>Mathematics &amp; Natural Sciences, Business, Economics &amp; Management</t>
        </is>
      </c>
      <c r="K43" s="3" t="inlineStr">
        <is>
          <t>Partial</t>
        </is>
      </c>
      <c r="L43" s="3" t="inlineStr">
        <is>
          <t>$100,000 to $120,000 (Distributed over 4 years for Engineering, Science, or Math/Tech degrees)</t>
        </is>
      </c>
      <c r="M43" s="3" t="inlineStr">
        <is>
          <t>January 7 (Annual cycle)</t>
        </is>
      </c>
      <c r="N43" s="3" t="inlineStr">
        <is>
          <t>Canadian high school graduates (or permanent residents) entrepreneurial-minded and entering an eligible STEM undergraduate program.</t>
        </is>
      </c>
      <c r="O43" s="3" t="inlineStr">
        <is>
          <t>High: High School Nomination + Essay on Entrepreneurial Leadership + Extracurricular Record</t>
        </is>
      </c>
      <c r="P43" s="3" t="inlineStr">
        <is>
          <t>Canadian STEM Innovators &amp; High School Entrepreneurs</t>
        </is>
      </c>
      <c r="Q43" s="3" t="n"/>
      <c r="R43" s="3" t="n"/>
      <c r="S43" s="3" t="n"/>
      <c r="T43" s="3" t="n"/>
      <c r="U43" s="3" t="n"/>
      <c r="V43" s="3" t="n"/>
      <c r="W43" s="3" t="n"/>
      <c r="X43" s="3" t="n"/>
      <c r="Y43" s="3" t="n"/>
      <c r="Z43" s="3" t="inlineStr">
        <is>
          <t>STEM</t>
        </is>
      </c>
      <c r="AA43" s="4" t="n"/>
      <c r="AB43" s="4" t="n"/>
      <c r="AC43" s="3">
        <f>IF(AND(E43&lt;&gt;"",COUNTIF($E$2:$E$800,E43)&gt;1),"DUPLICATE","")</f>
        <v/>
      </c>
    </row>
    <row r="44" ht="57.6" customHeight="1">
      <c r="A44" s="3" t="inlineStr">
        <is>
          <t>amherst-college-international-financial-aid-bachelor</t>
        </is>
      </c>
      <c r="B44" s="3" t="inlineStr">
        <is>
          <t>Open</t>
        </is>
      </c>
      <c r="C44" s="3" t="n"/>
      <c r="D44" s="3" t="inlineStr">
        <is>
          <t>Scholarship</t>
        </is>
      </c>
      <c r="E44" s="3" t="inlineStr">
        <is>
          <t>Amherst College International Financial Aid</t>
        </is>
      </c>
      <c r="F44" s="3" t="inlineStr">
        <is>
          <t>Amherst College — USA</t>
        </is>
      </c>
      <c r="G44" s="3" t="inlineStr">
        <is>
          <t>North America</t>
        </is>
      </c>
      <c r="H44" s="3" t="inlineStr">
        <is>
          <t>United States</t>
        </is>
      </c>
      <c r="I44" s="3" t="inlineStr">
        <is>
          <t>Bachelor</t>
        </is>
      </c>
      <c r="J44" s="3" t="inlineStr">
        <is>
          <t>All fields</t>
        </is>
      </c>
      <c r="K44" s="3" t="inlineStr">
        <is>
          <t>Full</t>
        </is>
      </c>
      <c r="L44" s="3" t="inlineStr">
        <is>
          <t>100% Demonstrated Need (Full-need financial aid package covering tuition, housing, and meals)</t>
        </is>
      </c>
      <c r="M44" s="3" t="inlineStr">
        <is>
          <t>January 1 (Fall Regular Decision)</t>
        </is>
      </c>
      <c r="N44" s="3" t="inlineStr">
        <is>
          <t>International undergraduate student applying for freshman entry; exceptionally high academic rigor and financial need.</t>
        </is>
      </c>
      <c r="O44" s="3" t="inlineStr">
        <is>
          <t>High: Common App + CSS Profile + Tax/Income Documents + Mid-Year School Report</t>
        </is>
      </c>
      <c r="P44" s="3" t="inlineStr">
        <is>
          <t>Low-Income International Undergraduates Seeking US Private Education</t>
        </is>
      </c>
      <c r="Q44" s="3" t="n"/>
      <c r="R44" s="3" t="n"/>
      <c r="S44" s="3" t="n"/>
      <c r="T44" s="3" t="n"/>
      <c r="U44" s="3" t="n"/>
      <c r="V44" s="3" t="n"/>
      <c r="W44" s="3" t="n"/>
      <c r="X44" s="3" t="n"/>
      <c r="Y44" s="3" t="n"/>
      <c r="Z44" s="3" t="inlineStr">
        <is>
          <t>Need-based</t>
        </is>
      </c>
      <c r="AA44" s="4" t="n"/>
      <c r="AB44" s="4" t="n"/>
      <c r="AC44" s="3">
        <f>IF(AND(E44&lt;&gt;"",COUNTIF($E$2:$E$800,E44)&gt;1),"DUPLICATE","")</f>
        <v/>
      </c>
    </row>
    <row r="45" ht="57.6" customHeight="1">
      <c r="A45" s="3" t="inlineStr">
        <is>
          <t>ubc-international-major-entrance-scholarship-imes-bachelor</t>
        </is>
      </c>
      <c r="B45" s="3" t="inlineStr">
        <is>
          <t>Open</t>
        </is>
      </c>
      <c r="C45" s="3" t="n"/>
      <c r="D45" s="3" t="inlineStr">
        <is>
          <t>Scholarship</t>
        </is>
      </c>
      <c r="E45" s="3" t="inlineStr">
        <is>
          <t>UBC International Major Entrance Scholarship (IMES)</t>
        </is>
      </c>
      <c r="F45" s="3" t="inlineStr">
        <is>
          <t>University of British Columbia — Canada</t>
        </is>
      </c>
      <c r="G45" s="3" t="inlineStr">
        <is>
          <t>North America</t>
        </is>
      </c>
      <c r="H45" s="3" t="inlineStr">
        <is>
          <t>Canada</t>
        </is>
      </c>
      <c r="I45" s="3" t="inlineStr">
        <is>
          <t>Bachelor</t>
        </is>
      </c>
      <c r="J45" s="3" t="inlineStr">
        <is>
          <t>All fields</t>
        </is>
      </c>
      <c r="K45" s="3" t="inlineStr">
        <is>
          <t>Partial</t>
        </is>
      </c>
      <c r="L45" s="3" t="inlineStr">
        <is>
          <t>Partial to Substantial Tuition Awards (Renewable for up to 3 additional years of undergraduate study)</t>
        </is>
      </c>
      <c r="M45" s="3" t="inlineStr">
        <is>
          <t>January 15 (Annual cycle)</t>
        </is>
      </c>
      <c r="N45" s="3" t="inlineStr">
        <is>
          <t>International students entering UBC undergraduate programs; top-tier academic performance and strong community involvement.</t>
        </is>
      </c>
      <c r="O45" s="3" t="inlineStr">
        <is>
          <t>Medium: UBC Admission Application + Separate International Scholarship Form</t>
        </is>
      </c>
      <c r="P45" s="3" t="inlineStr">
        <is>
          <t>High-Achieving Undergraduates Seeking Study in Vancouver</t>
        </is>
      </c>
      <c r="Q45" s="3" t="n"/>
      <c r="R45" s="3" t="n"/>
      <c r="S45" s="3" t="n"/>
      <c r="T45" s="3" t="n"/>
      <c r="U45" s="3" t="n"/>
      <c r="V45" s="3" t="n"/>
      <c r="W45" s="3" t="n"/>
      <c r="X45" s="3" t="n"/>
      <c r="Y45" s="3" t="n"/>
      <c r="Z45" s="3" t="n"/>
      <c r="AA45" s="4" t="n"/>
      <c r="AB45" s="4" t="n"/>
      <c r="AC45" s="3">
        <f>IF(AND(E45&lt;&gt;"",COUNTIF($E$2:$E$800,E45)&gt;1),"DUPLICATE","")</f>
        <v/>
      </c>
    </row>
    <row r="46" ht="144" customHeight="1">
      <c r="A46" s="3" t="inlineStr">
        <is>
          <t>fulbright-foreign-student-program-usa-master</t>
        </is>
      </c>
      <c r="B46" s="3" t="inlineStr">
        <is>
          <t>Open</t>
        </is>
      </c>
      <c r="C46" s="3" t="n"/>
      <c r="D46" s="3" t="inlineStr">
        <is>
          <t>Scholarship</t>
        </is>
      </c>
      <c r="E46" s="3" t="inlineStr">
        <is>
          <t>Fulbright Foreign Student Program (USA)</t>
        </is>
      </c>
      <c r="F46" s="3" t="inlineStr">
        <is>
          <t>US Department of State / Binational Commissions</t>
        </is>
      </c>
      <c r="G46" s="3" t="inlineStr">
        <is>
          <t>North America</t>
        </is>
      </c>
      <c r="H46" s="3" t="inlineStr">
        <is>
          <t>United States</t>
        </is>
      </c>
      <c r="I46" s="3" t="inlineStr">
        <is>
          <t>Master</t>
        </is>
      </c>
      <c r="J46" s="3" t="inlineStr">
        <is>
          <t>All fields</t>
        </is>
      </c>
      <c r="K46" s="3" t="inlineStr">
        <is>
          <t>Full</t>
        </is>
      </c>
      <c r="L46" s="3" t="inlineStr">
        <is>
          <t>Full Ride (J-1 Visa sponsorship, tuition coverage, monthly living stipend, books, health insurance)</t>
        </is>
      </c>
      <c r="M46" s="3" t="inlineStr">
        <is>
          <t>Staggered (Varies by home country, typically Feb–Oct)</t>
        </is>
      </c>
      <c r="N46" s="3" t="inlineStr">
        <is>
          <t>Foreign nationals (non-US citizens) holding a Bachelor’s degree; strong leadership potential; commitment to return home post-study.</t>
        </is>
      </c>
      <c r="O46" s="3" t="inlineStr">
        <is>
          <t>High: Local U.S. Embassy / Fulbright Commission Application + 3 References + Standardized Tests</t>
        </is>
      </c>
      <c r="P46" s="3" t="inlineStr">
        <is>
          <t>Global Leaders &amp; Graduate Students Seeking US Master's Sponsorship</t>
        </is>
      </c>
      <c r="Q46" s="3" t="inlineStr">
        <is>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is>
      </c>
      <c r="R46" s="3" t="inlineStr">
        <is>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is>
      </c>
      <c r="S46" s="3" t="inlineStr">
        <is>
          <t>Academic excellence (35%), Leadership capability &amp; community impact (35%), Feasibility of study plan &amp; cross-cultural adaptability (30%).</t>
        </is>
      </c>
      <c r="T46" s="3" t="inlineStr">
        <is>
          <t>Passionate professionals and scholars who articulate a clear vision for how their US degree will solve developmental or academic challenges back home.</t>
        </is>
      </c>
      <c r="U46" s="3" t="n"/>
      <c r="V46" s="3" t="inlineStr">
        <is>
          <t>https://foreign.fulbrightonline.org/</t>
        </is>
      </c>
      <c r="W46" s="3" t="n"/>
      <c r="X46" s="3" t="n"/>
      <c r="Y46" s="3" t="n"/>
      <c r="Z46" s="3" t="n"/>
      <c r="AA46" s="4" t="n"/>
      <c r="AB46" s="4" t="n"/>
      <c r="AC46" s="3">
        <f>IF(AND(E46&lt;&gt;"",COUNTIF($E$2:$E$800,E46)&gt;1),"DUPLICATE","")</f>
        <v/>
      </c>
    </row>
    <row r="47" ht="57.6" customHeight="1">
      <c r="A47" s="3" t="inlineStr">
        <is>
          <t>rotary-peace-fellowship-north-america-centers-master</t>
        </is>
      </c>
      <c r="B47" s="3" t="inlineStr">
        <is>
          <t>Open</t>
        </is>
      </c>
      <c r="C47" s="3" t="n"/>
      <c r="D47" s="3" t="inlineStr">
        <is>
          <t>Scholarship</t>
        </is>
      </c>
      <c r="E47" s="3" t="inlineStr">
        <is>
          <t>Rotary Peace Fellowship (North America Centers)</t>
        </is>
      </c>
      <c r="F47" s="3" t="inlineStr">
        <is>
          <t>Rotary Foundation</t>
        </is>
      </c>
      <c r="G47" s="3" t="inlineStr">
        <is>
          <t>North America</t>
        </is>
      </c>
      <c r="H47" s="3" t="n"/>
      <c r="I47" s="3" t="inlineStr">
        <is>
          <t>Master</t>
        </is>
      </c>
      <c r="J47" s="3" t="inlineStr">
        <is>
          <t>Law, Governance &amp; Public Policy</t>
        </is>
      </c>
      <c r="K47" s="3" t="inlineStr">
        <is>
          <t>Full</t>
        </is>
      </c>
      <c r="L47" s="3" t="inlineStr">
        <is>
          <t>Full Ride (Tuition, room &amp; board, round-trip transportation, all internship/field study expenses)</t>
        </is>
      </c>
      <c r="M47" s="3" t="inlineStr">
        <is>
          <t>May 15 (Annual cycle for following year)</t>
        </is>
      </c>
      <c r="N47" s="3" t="inlineStr">
        <is>
          <t>Bachelor’s degree; minimum 3 years of relevant professional experience in peace/conflict resolution; exceptional leadership record.</t>
        </is>
      </c>
      <c r="O47" s="3" t="inlineStr">
        <is>
          <t>Very High: Detailed Peace Fellowship Application + Professional Recommendations + Essays</t>
        </is>
      </c>
      <c r="P47" s="3" t="inlineStr">
        <is>
          <t>Mid-Career Peacebuilding &amp; International Relations Professionals</t>
        </is>
      </c>
      <c r="Q47" s="3" t="n"/>
      <c r="R47" s="3" t="n"/>
      <c r="S47" s="3" t="n"/>
      <c r="T47" s="3" t="n"/>
      <c r="U47" s="3" t="n"/>
      <c r="V47" s="3" t="n"/>
      <c r="W47" s="3" t="n"/>
      <c r="X47" s="3" t="n"/>
      <c r="Y47" s="3" t="n"/>
      <c r="Z47" s="3" t="inlineStr">
        <is>
          <t>Work experience</t>
        </is>
      </c>
      <c r="AA47" s="4" t="n"/>
      <c r="AB47" s="4" t="n"/>
      <c r="AC47" s="3">
        <f>IF(AND(E47&lt;&gt;"",COUNTIF($E$2:$E$800,E47)&gt;1),"DUPLICATE","")</f>
        <v/>
      </c>
    </row>
    <row r="48" ht="57.6" customHeight="1">
      <c r="A48" s="3" t="inlineStr">
        <is>
          <t>hubert-h-humphrey-fellowship-program-master</t>
        </is>
      </c>
      <c r="B48" s="3" t="inlineStr">
        <is>
          <t>Open</t>
        </is>
      </c>
      <c r="C48" s="3" t="n"/>
      <c r="D48" s="3" t="inlineStr">
        <is>
          <t>Scholarship</t>
        </is>
      </c>
      <c r="E48" s="3" t="inlineStr">
        <is>
          <t>Hubert H. Humphrey Fellowship Program</t>
        </is>
      </c>
      <c r="F48" s="3" t="inlineStr">
        <is>
          <t>US Department of State</t>
        </is>
      </c>
      <c r="G48" s="3" t="inlineStr">
        <is>
          <t>North America</t>
        </is>
      </c>
      <c r="H48" s="3" t="inlineStr">
        <is>
          <t>United States</t>
        </is>
      </c>
      <c r="I48" s="3" t="inlineStr">
        <is>
          <t>Master</t>
        </is>
      </c>
      <c r="J48" s="3" t="inlineStr">
        <is>
          <t>Law, Governance &amp; Public Policy, Architecture, Arts &amp; Design</t>
        </is>
      </c>
      <c r="K48" s="3" t="inlineStr">
        <is>
          <t>Full</t>
        </is>
      </c>
      <c r="L48" s="3" t="inlineStr">
        <is>
          <t>Professional Fellowship Grant (Full tuition, maintenance allowance, airfare, professional development funds)</t>
        </is>
      </c>
      <c r="M48" s="3" t="inlineStr">
        <is>
          <t>Staggered (Country-specific windows)</t>
        </is>
      </c>
      <c r="N48" s="3" t="inlineStr">
        <is>
          <t>Experienced professionals from designated countries; minimum 5 years of substantial professional experience in public service or policy.</t>
        </is>
      </c>
      <c r="O48" s="3" t="inlineStr">
        <is>
          <t>High: Comprehensive Professional Application + Employer Endorsement + English Language Proficiency</t>
        </is>
      </c>
      <c r="P48" s="3" t="inlineStr">
        <is>
          <t>Mid-Career Public Service Leaders Seeking US Professional Enrichment</t>
        </is>
      </c>
      <c r="Q48" s="3" t="n"/>
      <c r="R48" s="3" t="n"/>
      <c r="S48" s="3" t="n"/>
      <c r="T48" s="3" t="n"/>
      <c r="U48" s="3" t="n"/>
      <c r="V48" s="3" t="n"/>
      <c r="W48" s="3" t="n"/>
      <c r="X48" s="3" t="n"/>
      <c r="Y48" s="3" t="n"/>
      <c r="Z48" s="3" t="inlineStr">
        <is>
          <t>Work experience</t>
        </is>
      </c>
      <c r="AA48" s="4" t="n"/>
      <c r="AB48" s="4" t="n"/>
      <c r="AC48" s="3">
        <f>IF(AND(E48&lt;&gt;"",COUNTIF($E$2:$E$800,E48)&gt;1),"DUPLICATE","")</f>
        <v/>
      </c>
    </row>
    <row r="49" ht="57.6" customHeight="1">
      <c r="A49" s="3" t="inlineStr">
        <is>
          <t>mcgill-university-master-s-funding-graduate-excellence-fello</t>
        </is>
      </c>
      <c r="B49" s="3" t="inlineStr">
        <is>
          <t>Open</t>
        </is>
      </c>
      <c r="C49" s="3" t="n"/>
      <c r="D49" s="3" t="inlineStr">
        <is>
          <t>Scholarship</t>
        </is>
      </c>
      <c r="E49" s="3" t="inlineStr">
        <is>
          <t>McGill University Master’s Funding &amp; Graduate Excellence Fellowships</t>
        </is>
      </c>
      <c r="F49" s="3" t="inlineStr">
        <is>
          <t>McGill University — Canada</t>
        </is>
      </c>
      <c r="G49" s="3" t="inlineStr">
        <is>
          <t>North America</t>
        </is>
      </c>
      <c r="H49" s="3" t="inlineStr">
        <is>
          <t>Canada</t>
        </is>
      </c>
      <c r="I49" s="3" t="inlineStr">
        <is>
          <t>Master</t>
        </is>
      </c>
      <c r="J49" s="3" t="inlineStr">
        <is>
          <t>Engineering &amp; Technology, Mathematics &amp; Natural Sciences, Architecture, Arts &amp; Design</t>
        </is>
      </c>
      <c r="K49" s="3" t="inlineStr">
        <is>
          <t>Full</t>
        </is>
      </c>
      <c r="L49" s="3" t="inlineStr">
        <is>
          <t>Partial to Full Funding Support (Stipends and tuition supplements ranging from $5,000 to full funding)</t>
        </is>
      </c>
      <c r="M49" s="3" t="inlineStr">
        <is>
          <t>January 15 (Varies by department)</t>
        </is>
      </c>
      <c r="N49" s="3" t="inlineStr">
        <is>
          <t>International Master’s applicants admitted to thesis-based graduate programs in science, engineering, or arts.</t>
        </is>
      </c>
      <c r="O49" s="3" t="inlineStr">
        <is>
          <t>Medium: Departmental Graduate Admission Application (automatically considered for fellowships)</t>
        </is>
      </c>
      <c r="P49" s="3" t="inlineStr">
        <is>
          <t>Thesis-Based Master's Applicants to Canadian Research Universities</t>
        </is>
      </c>
      <c r="Q49" s="3" t="n"/>
      <c r="R49" s="3" t="n"/>
      <c r="S49" s="3" t="n"/>
      <c r="T49" s="3" t="n"/>
      <c r="U49" s="3" t="n"/>
      <c r="V49" s="3" t="n"/>
      <c r="W49" s="3" t="n"/>
      <c r="X49" s="3" t="n"/>
      <c r="Y49" s="3" t="n"/>
      <c r="Z49" s="3" t="inlineStr">
        <is>
          <t>STEM</t>
        </is>
      </c>
      <c r="AA49" s="4" t="n"/>
      <c r="AB49" s="4" t="n"/>
      <c r="AC49" s="3">
        <f>IF(AND(E49&lt;&gt;"",COUNTIF($E$2:$E$800,E49)&gt;1),"DUPLICATE","")</f>
        <v/>
      </c>
    </row>
    <row r="50" ht="115.2" customHeight="1">
      <c r="A50" s="3" t="inlineStr">
        <is>
          <t>vanier-canada-graduate-scholarships-phd</t>
        </is>
      </c>
      <c r="B50" s="3" t="inlineStr">
        <is>
          <t>Open</t>
        </is>
      </c>
      <c r="C50" s="3" t="n"/>
      <c r="D50" s="3" t="inlineStr">
        <is>
          <t>Scholarship</t>
        </is>
      </c>
      <c r="E50" s="3" t="inlineStr">
        <is>
          <t>Vanier Canada Graduate Scholarships</t>
        </is>
      </c>
      <c r="F50" s="3" t="inlineStr">
        <is>
          <t>Government of Canada / CIHR, NSERC, SSHRC</t>
        </is>
      </c>
      <c r="G50" s="3" t="inlineStr">
        <is>
          <t>North America</t>
        </is>
      </c>
      <c r="H50" s="3" t="inlineStr">
        <is>
          <t>Canada</t>
        </is>
      </c>
      <c r="I50" s="3" t="inlineStr">
        <is>
          <t>PhD</t>
        </is>
      </c>
      <c r="J50" s="3" t="inlineStr">
        <is>
          <t>All fields</t>
        </is>
      </c>
      <c r="K50" s="3" t="inlineStr">
        <is>
          <t>Stipend</t>
        </is>
      </c>
      <c r="L50" s="3" t="inlineStr">
        <is>
          <t>CA$50,000 per year (For 3 years of doctoral studies at participating Canadian universities)</t>
        </is>
      </c>
      <c r="M50" s="3" t="inlineStr">
        <is>
          <t>November (Nomination by university)</t>
        </is>
      </c>
      <c r="N50" s="3" t="inlineStr">
        <is>
          <t>World-class doctoral students (Canadian and international); nominated by a Canadian university; leadership and research excellence.</t>
        </is>
      </c>
      <c r="O50" s="3" t="inlineStr">
        <is>
          <t>Very High: Institutional Nomination + Research Proposal + Leadership Statements + Transcripts</t>
        </is>
      </c>
      <c r="P50" s="3" t="inlineStr">
        <is>
          <t>World-Class Doctoral Researchers Applying to Canadian Universities</t>
        </is>
      </c>
      <c r="Q50" s="3" t="inlineStr">
        <is>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is>
      </c>
      <c r="R50" s="3" t="inlineStr">
        <is>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is>
      </c>
      <c r="S50" s="3" t="inlineStr">
        <is>
          <t>Academic Excellence (33.3%), Research Potential (33.3%), Leadership Characteristics (33.3%).</t>
        </is>
      </c>
      <c r="T50" s="3" t="inlineStr">
        <is>
          <t>Exceptional doctoral researchers with published papers, conference presentations, and extensive leadership or mentoring track records.</t>
        </is>
      </c>
      <c r="U50" s="3" t="n"/>
      <c r="V50" s="3" t="inlineStr">
        <is>
          <t>https://www.vanier.gc.ca/en/home-accueil.html</t>
        </is>
      </c>
      <c r="W50" s="3" t="n"/>
      <c r="X50" s="3" t="n"/>
      <c r="Y50" s="3" t="n"/>
      <c r="Z50" s="3" t="inlineStr">
        <is>
          <t>Research</t>
        </is>
      </c>
      <c r="AA50" s="4" t="n"/>
      <c r="AB50" s="4" t="n"/>
      <c r="AC50" s="3">
        <f>IF(AND(E50&lt;&gt;"",COUNTIF($E$2:$E$800,E50)&gt;1),"DUPLICATE","")</f>
        <v/>
      </c>
    </row>
    <row r="51" ht="57.6" customHeight="1">
      <c r="A51" s="3" t="inlineStr">
        <is>
          <t>nsf-graduate-research-fellowship-program-grfp-phd</t>
        </is>
      </c>
      <c r="B51" s="3" t="inlineStr">
        <is>
          <t>Open</t>
        </is>
      </c>
      <c r="C51" s="3" t="n"/>
      <c r="D51" s="3" t="inlineStr">
        <is>
          <t>Scholarship</t>
        </is>
      </c>
      <c r="E51" s="3" t="inlineStr">
        <is>
          <t>NSF Graduate Research Fellowship Program (GRFP)</t>
        </is>
      </c>
      <c r="F51" s="3" t="inlineStr">
        <is>
          <t>National Science Foundation — USA</t>
        </is>
      </c>
      <c r="G51" s="3" t="inlineStr">
        <is>
          <t>North America</t>
        </is>
      </c>
      <c r="H51" s="3" t="inlineStr">
        <is>
          <t>United States</t>
        </is>
      </c>
      <c r="I51" s="3" t="inlineStr">
        <is>
          <t>PhD</t>
        </is>
      </c>
      <c r="J51" s="3" t="inlineStr">
        <is>
          <t>Mathematics &amp; Natural Sciences</t>
        </is>
      </c>
      <c r="K51" s="3" t="inlineStr">
        <is>
          <t>Stipend</t>
        </is>
      </c>
      <c r="L51" s="3" t="inlineStr">
        <is>
          <t>US$37,000 annual stipend + $16,000 cost of education allowance for 3 years</t>
        </is>
      </c>
      <c r="M51" s="3" t="inlineStr">
        <is>
          <t>October (Staggered by STEM discipline)</t>
        </is>
      </c>
      <c r="N51" s="3" t="inlineStr">
        <is>
          <t>US citizens, nationals, or permanent residents pursuing research-based Master's or PhD degrees in STEM fields.</t>
        </is>
      </c>
      <c r="O51" s="3" t="inlineStr">
        <is>
          <t>Very High: Graduate Research Plan Statement + Relevant Background Statement + Reference Letters</t>
        </is>
      </c>
      <c r="P51" s="3" t="inlineStr">
        <is>
          <t>US Citizens/PRs Pursuing STEM Doctorates</t>
        </is>
      </c>
      <c r="Q51" s="3" t="n"/>
      <c r="R51" s="3" t="n"/>
      <c r="S51" s="3" t="n"/>
      <c r="T51" s="3" t="n"/>
      <c r="U51" s="3" t="n"/>
      <c r="V51" s="3" t="n"/>
      <c r="W51" s="3" t="n"/>
      <c r="X51" s="3" t="n"/>
      <c r="Y51" s="3" t="n"/>
      <c r="Z51" s="3" t="inlineStr">
        <is>
          <t>STEM, Research</t>
        </is>
      </c>
      <c r="AA51" s="4" t="n"/>
      <c r="AB51" s="4" t="n"/>
      <c r="AC51" s="3">
        <f>IF(AND(E51&lt;&gt;"",COUNTIF($E$2:$E$800,E51)&gt;1),"DUPLICATE","")</f>
        <v/>
      </c>
    </row>
    <row r="52" ht="57.6" customHeight="1">
      <c r="A52" s="3" t="inlineStr">
        <is>
          <t>ivy-league-r1-university-fully-funded-phd-assistantships-phd</t>
        </is>
      </c>
      <c r="B52" s="3" t="inlineStr">
        <is>
          <t>Open</t>
        </is>
      </c>
      <c r="C52" s="3" t="n"/>
      <c r="D52" s="3" t="inlineStr">
        <is>
          <t>Scholarship</t>
        </is>
      </c>
      <c r="E52" s="3" t="inlineStr">
        <is>
          <t>Ivy League &amp; R1 University Fully Funded PhD Assistantships</t>
        </is>
      </c>
      <c r="F52" s="3" t="inlineStr">
        <is>
          <t>Harvard, MIT, Stanford, UC Berkeley, etc.</t>
        </is>
      </c>
      <c r="G52" s="3" t="inlineStr">
        <is>
          <t>North America</t>
        </is>
      </c>
      <c r="H52" s="3" t="inlineStr">
        <is>
          <t>United States</t>
        </is>
      </c>
      <c r="I52" s="3" t="inlineStr">
        <is>
          <t>PhD</t>
        </is>
      </c>
      <c r="J52" s="3" t="inlineStr">
        <is>
          <t>All fields</t>
        </is>
      </c>
      <c r="K52" s="3" t="inlineStr">
        <is>
          <t>Full</t>
        </is>
      </c>
      <c r="L52" s="3" t="inlineStr">
        <is>
          <t>Full Ride + RA/TA Stipend (100% Tuition waiver, health insurance, and living stipend via Teaching/Research Assistantships)</t>
        </is>
      </c>
      <c r="M52" s="3" t="inlineStr">
        <is>
          <t>December – January (Varies by university)</t>
        </is>
      </c>
      <c r="N52" s="3" t="inlineStr">
        <is>
          <t>Bachelor’s or Master’s degree holders with outstanding academic records and intensive undergraduate research experience.</t>
        </is>
      </c>
      <c r="O52" s="3" t="inlineStr">
        <is>
          <t>Very High: SOP + Writing Sample + GRE (where required) + 3 Professor Recommendation Letters</t>
        </is>
      </c>
      <c r="P52" s="3" t="inlineStr">
        <is>
          <t>Elite Academic Researchers Targeting North American R1 Doctoral Programs</t>
        </is>
      </c>
      <c r="Q52" s="3" t="n"/>
      <c r="R52" s="3" t="n"/>
      <c r="S52" s="3" t="n"/>
      <c r="T52" s="3" t="n"/>
      <c r="U52" s="3" t="n"/>
      <c r="V52" s="3" t="n"/>
      <c r="W52" s="3" t="n"/>
      <c r="X52" s="3" t="n"/>
      <c r="Y52" s="3" t="n"/>
      <c r="Z52" s="3" t="inlineStr">
        <is>
          <t>Research</t>
        </is>
      </c>
      <c r="AA52" s="4" t="n"/>
      <c r="AB52" s="4" t="n"/>
      <c r="AC52" s="3">
        <f>IF(AND(E52&lt;&gt;"",COUNTIF($E$2:$E$800,E52)&gt;1),"DUPLICATE","")</f>
        <v/>
      </c>
    </row>
    <row r="53" ht="72" customHeight="1">
      <c r="A53" s="3" t="inlineStr">
        <is>
          <t>earth-university-mastercard-foundation-scholarship-bachelor</t>
        </is>
      </c>
      <c r="B53" s="3" t="inlineStr">
        <is>
          <t>Open</t>
        </is>
      </c>
      <c r="C53" s="3" t="n"/>
      <c r="D53" s="3" t="inlineStr">
        <is>
          <t>Scholarship</t>
        </is>
      </c>
      <c r="E53" s="3" t="inlineStr">
        <is>
          <t>EARTH University Mastercard Foundation Scholarship</t>
        </is>
      </c>
      <c r="F53" s="3" t="inlineStr">
        <is>
          <t>Costa Rica / Mastercard Foundation</t>
        </is>
      </c>
      <c r="G53" s="3" t="inlineStr">
        <is>
          <t>Latin America &amp; Caribbean</t>
        </is>
      </c>
      <c r="H53" s="3" t="inlineStr">
        <is>
          <t>Costa Rica</t>
        </is>
      </c>
      <c r="I53" s="3" t="inlineStr">
        <is>
          <t>Bachelor</t>
        </is>
      </c>
      <c r="J53" s="3" t="inlineStr">
        <is>
          <t>Agriculture &amp; Food Security, Environment, Water &amp; Energy</t>
        </is>
      </c>
      <c r="K53" s="3" t="inlineStr">
        <is>
          <t>Full</t>
        </is>
      </c>
      <c r="L53" s="3" t="inlineStr">
        <is>
          <t>Full Ride (Full Tuition, On-Campus Housing, Meals, Living Stipend, Airfare, Laptop)</t>
        </is>
      </c>
      <c r="M53" s="3" t="inlineStr">
        <is>
          <t>January (Annual cycle for regional recruitment)</t>
        </is>
      </c>
      <c r="N53" s="3" t="inlineStr">
        <is>
          <t>Citizens of Latin America, the Caribbean, and select African countries; high school graduates with demonstrated financial need and commitment to agricultural sustainability/leadership.</t>
        </is>
      </c>
      <c r="O53" s="3" t="inlineStr">
        <is>
          <t>High: Comprehensive Application + Financial Need Assessment + Interviews &amp; Leadership Exercises</t>
        </is>
      </c>
      <c r="P53" s="3" t="inlineStr">
        <is>
          <t>Low-Income Rural Youth Dedicated to Agriculture and Sustainability</t>
        </is>
      </c>
      <c r="Q53" s="3" t="n"/>
      <c r="R53" s="3" t="n"/>
      <c r="S53" s="3" t="n"/>
      <c r="T53" s="3" t="n"/>
      <c r="U53" s="3" t="n"/>
      <c r="V53" s="3" t="n"/>
      <c r="W53" s="3" t="n"/>
      <c r="X53" s="3" t="n"/>
      <c r="Y53" s="3" t="n"/>
      <c r="Z53" s="3" t="inlineStr">
        <is>
          <t>Need-based</t>
        </is>
      </c>
      <c r="AA53" s="4" t="n"/>
      <c r="AB53" s="4" t="n"/>
      <c r="AC53" s="3">
        <f>IF(AND(E53&lt;&gt;"",COUNTIF($E$2:$E$800,E53)&gt;1),"DUPLICATE","")</f>
        <v/>
      </c>
    </row>
    <row r="54" ht="57.6" customHeight="1">
      <c r="A54" s="3" t="inlineStr">
        <is>
          <t>amexcid-mexican-government-scholarship-for-foreigners-bachel</t>
        </is>
      </c>
      <c r="B54" s="3" t="inlineStr">
        <is>
          <t>Open</t>
        </is>
      </c>
      <c r="C54" s="3" t="n"/>
      <c r="D54" s="3" t="inlineStr">
        <is>
          <t>Scholarship</t>
        </is>
      </c>
      <c r="E54" s="3" t="inlineStr">
        <is>
          <t>AMEXCID Mexican Government Scholarship for Foreigners</t>
        </is>
      </c>
      <c r="F54" s="3" t="inlineStr">
        <is>
          <t>Government of Mexico — SRE</t>
        </is>
      </c>
      <c r="G54" s="3" t="inlineStr">
        <is>
          <t>Latin America &amp; Caribbean</t>
        </is>
      </c>
      <c r="H54" s="3" t="inlineStr">
        <is>
          <t>Mexico</t>
        </is>
      </c>
      <c r="I54" s="3" t="inlineStr">
        <is>
          <t>Bachelor</t>
        </is>
      </c>
      <c r="J54" s="3" t="inlineStr">
        <is>
          <t>All fields</t>
        </is>
      </c>
      <c r="K54" s="3" t="inlineStr">
        <is>
          <t>Full</t>
        </is>
      </c>
      <c r="L54" s="3" t="inlineStr">
        <is>
          <t>Full Support (Monthly living stipend of ~4–5 times the daily minimum wage in Mexico + full tuition waiver + medical insurance)</t>
        </is>
      </c>
      <c r="M54" s="3" t="inlineStr">
        <is>
          <t>July – September (Varies by annual call)</t>
        </is>
      </c>
      <c r="N54" s="3" t="inlineStr">
        <is>
          <t>Bachelor’s degree holders or undergraduate exchange students from over 180 participating countries; intermediate Spanish proficiency.</t>
        </is>
      </c>
      <c r="O54" s="3" t="inlineStr">
        <is>
          <t>High: SRE Online Academic Portal + Certified Transcripts + Institutional Acceptance Letter in Mexico</t>
        </is>
      </c>
      <c r="P54" s="3" t="inlineStr">
        <is>
          <t>Students Seeking Undergraduate Exchange or Graduate Study in Mexico</t>
        </is>
      </c>
      <c r="Q54" s="3" t="n"/>
      <c r="R54" s="3" t="n"/>
      <c r="S54" s="3" t="n"/>
      <c r="T54" s="3" t="n"/>
      <c r="U54" s="3" t="n"/>
      <c r="V54" s="3" t="n"/>
      <c r="W54" s="3" t="n"/>
      <c r="X54" s="3" t="n"/>
      <c r="Y54" s="3" t="n"/>
      <c r="Z54" s="3" t="n"/>
      <c r="AA54" s="4" t="n"/>
      <c r="AB54" s="4" t="n"/>
      <c r="AC54" s="3">
        <f>IF(AND(E54&lt;&gt;"",COUNTIF($E$2:$E$800,E54)&gt;1),"DUPLICATE","")</f>
        <v/>
      </c>
    </row>
    <row r="55" ht="57.6" customHeight="1">
      <c r="A55" s="3" t="inlineStr">
        <is>
          <t>universidad-de-costa-rica-socioeconomic-grants-bachelor</t>
        </is>
      </c>
      <c r="B55" s="3" t="inlineStr">
        <is>
          <t>Open</t>
        </is>
      </c>
      <c r="C55" s="3" t="n"/>
      <c r="D55" s="3" t="inlineStr">
        <is>
          <t>Scholarship</t>
        </is>
      </c>
      <c r="E55" s="3" t="inlineStr">
        <is>
          <t>Universidad de Costa Rica Socioeconomic Grants</t>
        </is>
      </c>
      <c r="F55" s="3" t="inlineStr">
        <is>
          <t>UCR — Costa Rica</t>
        </is>
      </c>
      <c r="G55" s="3" t="inlineStr">
        <is>
          <t>Latin America &amp; Caribbean</t>
        </is>
      </c>
      <c r="H55" s="3" t="inlineStr">
        <is>
          <t>Costa Rica</t>
        </is>
      </c>
      <c r="I55" s="3" t="inlineStr">
        <is>
          <t>Bachelor</t>
        </is>
      </c>
      <c r="J55" s="3" t="inlineStr">
        <is>
          <t>All fields</t>
        </is>
      </c>
      <c r="K55" s="3" t="inlineStr">
        <is>
          <t>Full</t>
        </is>
      </c>
      <c r="L55" s="3" t="inlineStr">
        <is>
          <t>Partial to Full Tuition &amp; Living Support (Based on sliding scale socioeconomic assessment)</t>
        </is>
      </c>
      <c r="M55" s="3" t="inlineStr">
        <is>
          <t>Rolling / Semester Deadlines</t>
        </is>
      </c>
      <c r="N55" s="3" t="inlineStr">
        <is>
          <t>Local and international undergraduate students enrolled at UCR demonstrating limited financial resources and strong academic standing.</t>
        </is>
      </c>
      <c r="O55" s="3" t="inlineStr">
        <is>
          <t>Medium: University Admission + Socioeconomic Evaluation Documentation</t>
        </is>
      </c>
      <c r="P55" s="3" t="inlineStr">
        <is>
          <t>Students Seeking Affordable or Subsidized Higher Ed in Central America</t>
        </is>
      </c>
      <c r="Q55" s="3" t="n"/>
      <c r="R55" s="3" t="n"/>
      <c r="S55" s="3" t="n"/>
      <c r="T55" s="3" t="n"/>
      <c r="U55" s="3" t="n"/>
      <c r="V55" s="3" t="n"/>
      <c r="W55" s="3" t="n"/>
      <c r="X55" s="3" t="n"/>
      <c r="Y55" s="3" t="n"/>
      <c r="Z55" s="3" t="inlineStr">
        <is>
          <t>Need-based</t>
        </is>
      </c>
      <c r="AA55" s="4" t="n"/>
      <c r="AB55" s="4" t="n"/>
      <c r="AC55" s="3">
        <f>IF(AND(E55&lt;&gt;"",COUNTIF($E$2:$E$800,E55)&gt;1),"DUPLICATE","")</f>
        <v/>
      </c>
    </row>
    <row r="56" ht="144" customHeight="1">
      <c r="A56" s="3" t="inlineStr">
        <is>
          <t>oas-academic-scholarship-program-paec-regular-program-master</t>
        </is>
      </c>
      <c r="B56" s="3" t="inlineStr">
        <is>
          <t>Open</t>
        </is>
      </c>
      <c r="C56" s="3" t="n"/>
      <c r="D56" s="3" t="inlineStr">
        <is>
          <t>Scholarship</t>
        </is>
      </c>
      <c r="E56" s="3" t="inlineStr">
        <is>
          <t>OAS Academic Scholarship Program (PAEC / Regular Program)</t>
        </is>
      </c>
      <c r="F56" s="3" t="inlineStr">
        <is>
          <t>Organization of American States</t>
        </is>
      </c>
      <c r="G56" s="3" t="inlineStr">
        <is>
          <t>Latin America &amp; Caribbean</t>
        </is>
      </c>
      <c r="H56" s="3" t="n"/>
      <c r="I56" s="3" t="inlineStr">
        <is>
          <t>Master</t>
        </is>
      </c>
      <c r="J56" s="3" t="inlineStr">
        <is>
          <t>All fields</t>
        </is>
      </c>
      <c r="K56" s="3" t="inlineStr">
        <is>
          <t>Partial</t>
        </is>
      </c>
      <c r="L56" s="3" t="inlineStr">
        <is>
          <t>Complementary Grant (Up to USD $10,000 per academic year covering tuition, health insurance, and partial subsistence allowance)</t>
        </is>
      </c>
      <c r="M56" s="3" t="inlineStr">
        <is>
          <t>April – June (Varies by partner university network call)</t>
        </is>
      </c>
      <c r="N56" s="3" t="inlineStr">
        <is>
          <t>Citizen or permanent resident of an OAS Member State; holds a first Bachelor's degree; admission to an eligible university in an OAS country.</t>
        </is>
      </c>
      <c r="O56" s="3" t="inlineStr">
        <is>
          <t>High: OAS Online Application Form + 2 Recommendation Letters + University Admission Letter</t>
        </is>
      </c>
      <c r="P56" s="3" t="inlineStr">
        <is>
          <t>Citizens of OAS Member States Seeking Hemispheric Graduate Study</t>
        </is>
      </c>
      <c r="Q56" s="3" t="inlineStr">
        <is>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is>
      </c>
      <c r="R56" s="3" t="inlineStr">
        <is>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is>
      </c>
      <c r="S56" s="3" t="inlineStr">
        <is>
          <t>Academic merit and GPA (30%), Potential impact of the study program on the applicant's home country (30%), Financial need and completeness of documentation (25%), Geographic distribution across OAS member states (15%).</t>
        </is>
      </c>
      <c r="T56" s="3" t="inlineStr">
        <is>
          <t>Dedicated public administrators, environmental scientists, and educators from Latin America and the Caribbean who secure university admission independently and leverage OAS complementary funding to complete degrees in the US, Brazil, Mexico, or Caribbean partner institutions.</t>
        </is>
      </c>
      <c r="U56" s="3" t="n"/>
      <c r="V56" s="3" t="inlineStr">
        <is>
          <t>http://www.oas.org/en/scholarships/</t>
        </is>
      </c>
      <c r="W56" s="3" t="n"/>
      <c r="X56" s="3" t="n"/>
      <c r="Y56" s="3" t="n"/>
      <c r="Z56" s="3" t="n"/>
      <c r="AA56" s="4" t="n"/>
      <c r="AB56" s="4" t="n"/>
      <c r="AC56" s="3">
        <f>IF(AND(E56&lt;&gt;"",COUNTIF($E$2:$E$800,E56)&gt;1),"DUPLICATE","")</f>
        <v/>
      </c>
    </row>
    <row r="57" ht="129.6" customHeight="1">
      <c r="A57" s="3" t="inlineStr">
        <is>
          <t>gcub-brazil-international-master-s-phd-scholarship-programme</t>
        </is>
      </c>
      <c r="B57" s="3" t="inlineStr">
        <is>
          <t>Open</t>
        </is>
      </c>
      <c r="C57" s="3" t="n"/>
      <c r="D57" s="3" t="inlineStr">
        <is>
          <t>Scholarship</t>
        </is>
      </c>
      <c r="E57" s="3" t="inlineStr">
        <is>
          <t>GCUB-Brazil International Master’s &amp; PhD Scholarship Programme</t>
        </is>
      </c>
      <c r="F57" s="3" t="inlineStr">
        <is>
          <t>Brazil — GCUB</t>
        </is>
      </c>
      <c r="G57" s="3" t="inlineStr">
        <is>
          <t>Latin America &amp; Caribbean</t>
        </is>
      </c>
      <c r="H57" s="3" t="inlineStr">
        <is>
          <t>Brazil</t>
        </is>
      </c>
      <c r="I57" s="3" t="inlineStr">
        <is>
          <t>Master</t>
        </is>
      </c>
      <c r="J57" s="3" t="inlineStr">
        <is>
          <t>All fields</t>
        </is>
      </c>
      <c r="K57" s="3" t="inlineStr">
        <is>
          <t>Full</t>
        </is>
      </c>
      <c r="L57" s="3" t="inlineStr">
        <is>
          <t>Full Tuition Waiver + Monthly Living Stipend (Provided by Brazilian federal/state universities during the course duration)</t>
        </is>
      </c>
      <c r="M57" s="3" t="inlineStr">
        <is>
          <t>July (Annual call across 60+ Brazilian universities)</t>
        </is>
      </c>
      <c r="N57" s="3" t="inlineStr">
        <is>
          <t>International students holding an undergraduate degree; willingness to study in Portuguese (includes introductory language tracks in select host universities).</t>
        </is>
      </c>
      <c r="O57" s="3" t="inlineStr">
        <is>
          <t>High: Unified GCUB Online Application Form + CV + Academic Statement of Purpose</t>
        </is>
      </c>
      <c r="P57" s="3" t="inlineStr">
        <is>
          <t>International Graduates Open to Postgraduate Study in Brazil</t>
        </is>
      </c>
      <c r="Q57" s="3" t="inlineStr">
        <is>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is>
      </c>
      <c r="R57" s="3" t="inlineStr">
        <is>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is>
      </c>
      <c r="S57" s="3" t="inlineStr">
        <is>
          <t>Academic record and GPA strength (40%), Alignment of research goals with Brazilian graduate programs (40%), Completeness and presentation of documentation (20%).</t>
        </is>
      </c>
      <c r="T57" s="3" t="inlineStr">
        <is>
          <t>Highly motivated international researchers who embrace linguistic adaptation (Portuguese immersion) and tap into Brazil’s robust agricultural, public health, and engineering laboratory networks.</t>
        </is>
      </c>
      <c r="U57" s="3" t="n"/>
      <c r="V57" s="3" t="inlineStr">
        <is>
          <t>http://www.gcub.org.br/</t>
        </is>
      </c>
      <c r="W57" s="3" t="n"/>
      <c r="X57" s="3" t="n"/>
      <c r="Y57" s="3" t="n"/>
      <c r="Z57" s="3" t="n"/>
      <c r="AA57" s="4" t="n"/>
      <c r="AB57" s="4" t="n"/>
      <c r="AC57" s="3">
        <f>IF(AND(E57&lt;&gt;"",COUNTIF($E$2:$E$800,E57)&gt;1),"DUPLICATE","")</f>
        <v/>
      </c>
    </row>
    <row r="58" ht="57.6" customHeight="1">
      <c r="A58" s="3" t="inlineStr">
        <is>
          <t>becas-chile-anid-postgraduate-scholarships-master</t>
        </is>
      </c>
      <c r="B58" s="3" t="inlineStr">
        <is>
          <t>Open</t>
        </is>
      </c>
      <c r="C58" s="3" t="n"/>
      <c r="D58" s="3" t="inlineStr">
        <is>
          <t>Scholarship</t>
        </is>
      </c>
      <c r="E58" s="3" t="inlineStr">
        <is>
          <t>Becas Chile (ANID Postgraduate Scholarships)</t>
        </is>
      </c>
      <c r="F58" s="3" t="inlineStr">
        <is>
          <t>Government of Chile</t>
        </is>
      </c>
      <c r="G58" s="3" t="inlineStr">
        <is>
          <t>Latin America &amp; Caribbean</t>
        </is>
      </c>
      <c r="H58" s="3" t="inlineStr">
        <is>
          <t>Chile</t>
        </is>
      </c>
      <c r="I58" s="3" t="inlineStr">
        <is>
          <t>Master</t>
        </is>
      </c>
      <c r="J58" s="3" t="inlineStr">
        <is>
          <t>All fields</t>
        </is>
      </c>
      <c r="K58" s="3" t="inlineStr">
        <is>
          <t>Full</t>
        </is>
      </c>
      <c r="L58" s="3" t="inlineStr">
        <is>
          <t>Full Funding Support (Tuition fees, maintenance allowance, return airfare, health insurance for Master's/PhD)</t>
        </is>
      </c>
      <c r="M58" s="3" t="inlineStr">
        <is>
          <t>Staggered (Annual calls handled via ANID portals)</t>
        </is>
      </c>
      <c r="N58" s="3" t="inlineStr">
        <is>
          <t>Open to national and international candidates meeting residency/academic criteria for postgraduate study at accredited Chilean universities.</t>
        </is>
      </c>
      <c r="O58" s="3" t="inlineStr">
        <is>
          <t>High: Online ANID Portal Application + Academic Transcripts + Detailed Research/Study Program</t>
        </is>
      </c>
      <c r="P58" s="3" t="inlineStr">
        <is>
          <t>Researchers Targeting Advanced Study in South America</t>
        </is>
      </c>
      <c r="Q58" s="3" t="n"/>
      <c r="R58" s="3" t="n"/>
      <c r="S58" s="3" t="n"/>
      <c r="T58" s="3" t="n"/>
      <c r="U58" s="3" t="n"/>
      <c r="V58" s="3" t="n"/>
      <c r="W58" s="3" t="n"/>
      <c r="X58" s="3" t="n"/>
      <c r="Y58" s="3" t="n"/>
      <c r="Z58" s="3" t="n"/>
      <c r="AA58" s="4" t="n"/>
      <c r="AB58" s="4" t="n"/>
      <c r="AC58" s="3">
        <f>IF(AND(E58&lt;&gt;"",COUNTIF($E$2:$E$800,E58)&gt;1),"DUPLICATE","")</f>
        <v/>
      </c>
    </row>
    <row r="59" ht="43.2" customHeight="1">
      <c r="A59" s="3" t="inlineStr">
        <is>
          <t>the-rowe-fund-program-oas-master</t>
        </is>
      </c>
      <c r="B59" s="3" t="inlineStr">
        <is>
          <t>Open</t>
        </is>
      </c>
      <c r="C59" s="3" t="n"/>
      <c r="D59" s="3" t="inlineStr">
        <is>
          <t>Scholarship</t>
        </is>
      </c>
      <c r="E59" s="3" t="inlineStr">
        <is>
          <t>The Rowe Fund Program (OAS)</t>
        </is>
      </c>
      <c r="F59" s="3" t="inlineStr">
        <is>
          <t>Organization of American States</t>
        </is>
      </c>
      <c r="G59" s="3" t="inlineStr">
        <is>
          <t>Latin America &amp; Caribbean</t>
        </is>
      </c>
      <c r="H59" s="3" t="inlineStr">
        <is>
          <t>United States</t>
        </is>
      </c>
      <c r="I59" s="3" t="inlineStr">
        <is>
          <t>Master</t>
        </is>
      </c>
      <c r="J59" s="3" t="inlineStr">
        <is>
          <t>All fields</t>
        </is>
      </c>
      <c r="K59" s="3" t="inlineStr">
        <is>
          <t>Partial</t>
        </is>
      </c>
      <c r="L59" s="3" t="inlineStr">
        <is>
          <t>Interest-Free Loan + Supplemental Scholarship (Up to $15,000 interest-free loan + $2,000 grant)</t>
        </is>
      </c>
      <c r="M59" s="3" t="inlineStr">
        <is>
          <t>Rolling / Year-Round</t>
        </is>
      </c>
      <c r="N59" s="3" t="inlineStr">
        <is>
          <t>Nationals of Latin American and Caribbean OAS member states in the last two years of undergraduate or graduate studies in the USA.</t>
        </is>
      </c>
      <c r="O59" s="3" t="inlineStr">
        <is>
          <t>Medium: Loan Application + Guarantor Documentation + Proof of Enrollment</t>
        </is>
      </c>
      <c r="P59" s="3" t="inlineStr">
        <is>
          <t>Students Seeking Financial Gap-Bridging Loans for Study in the Americas</t>
        </is>
      </c>
      <c r="Q59" s="3" t="n"/>
      <c r="R59" s="3" t="n"/>
      <c r="S59" s="3" t="n"/>
      <c r="T59" s="3" t="n"/>
      <c r="U59" s="3" t="n"/>
      <c r="V59" s="3" t="n"/>
      <c r="W59" s="3" t="n"/>
      <c r="X59" s="3" t="n"/>
      <c r="Y59" s="3" t="n"/>
      <c r="Z59" s="3" t="n"/>
      <c r="AA59" s="4" t="n"/>
      <c r="AB59" s="4" t="n"/>
      <c r="AC59" s="3">
        <f>IF(AND(E59&lt;&gt;"",COUNTIF($E$2:$E$800,E59)&gt;1),"DUPLICATE","")</f>
        <v/>
      </c>
    </row>
    <row r="60" ht="72" customHeight="1">
      <c r="A60" s="3" t="inlineStr">
        <is>
          <t>twas-dbt-twas-cnpq-postgraduate-fellowship-programmes-phd</t>
        </is>
      </c>
      <c r="B60" s="3" t="inlineStr">
        <is>
          <t>Open</t>
        </is>
      </c>
      <c r="C60" s="3" t="n"/>
      <c r="D60" s="3" t="inlineStr">
        <is>
          <t>Scholarship</t>
        </is>
      </c>
      <c r="E60" s="3" t="inlineStr">
        <is>
          <t>TWAS-DBT / TWAS-CNPq Postgraduate Fellowship Programmes</t>
        </is>
      </c>
      <c r="F60" s="3" t="inlineStr">
        <is>
          <t>The World Academy of Sciences &amp; Brazil/India/China</t>
        </is>
      </c>
      <c r="G60" s="3" t="inlineStr">
        <is>
          <t>Latin America &amp; Caribbean</t>
        </is>
      </c>
      <c r="H60" s="3" t="inlineStr">
        <is>
          <t>China, Brazil</t>
        </is>
      </c>
      <c r="I60" s="3" t="inlineStr">
        <is>
          <t>PhD</t>
        </is>
      </c>
      <c r="J60" s="3" t="inlineStr">
        <is>
          <t>All fields</t>
        </is>
      </c>
      <c r="K60" s="3" t="inlineStr">
        <is>
          <t>Full</t>
        </is>
      </c>
      <c r="L60" s="3" t="inlineStr">
        <is>
          <t>Full Research Stipend (Living costs, food, and accommodation covered; bench fees and health insurance support)</t>
        </is>
      </c>
      <c r="M60" s="3" t="inlineStr">
        <is>
          <t>Staggered (Typically mid-year calls)</t>
        </is>
      </c>
      <c r="N60" s="3" t="inlineStr">
        <is>
          <t>Young scientists from developing countries (excluding the host country) holding a Master’s degree in a scientific field to conduct PhD research abroad.</t>
        </is>
      </c>
      <c r="O60" s="3" t="inlineStr">
        <is>
          <t>High: Acceptance Letter from Host Institution in Brazil/Global South + Research Proposal + References</t>
        </is>
      </c>
      <c r="P60" s="3" t="inlineStr">
        <is>
          <t>Developing-Country Scientists Seeking South-South Doctoral Research</t>
        </is>
      </c>
      <c r="Q60" s="3" t="n"/>
      <c r="R60" s="3" t="n"/>
      <c r="S60" s="3" t="n"/>
      <c r="T60" s="3" t="n"/>
      <c r="U60" s="3" t="n"/>
      <c r="V60" s="3" t="n"/>
      <c r="W60" s="3" t="n"/>
      <c r="X60" s="3" t="n"/>
      <c r="Y60" s="3" t="n"/>
      <c r="Z60" s="3" t="inlineStr">
        <is>
          <t>STEM, Research</t>
        </is>
      </c>
      <c r="AA60" s="4" t="n"/>
      <c r="AB60" s="4" t="n"/>
      <c r="AC60" s="3">
        <f>IF(AND(E60&lt;&gt;"",COUNTIF($E$2:$E$800,E60)&gt;1),"DUPLICATE","")</f>
        <v/>
      </c>
    </row>
    <row r="61" ht="129.6" customHeight="1">
      <c r="A61" s="3" t="inlineStr">
        <is>
          <t>gcub-brazil-doctoral-fellowship-track-phd</t>
        </is>
      </c>
      <c r="B61" s="3" t="inlineStr">
        <is>
          <t>Open</t>
        </is>
      </c>
      <c r="C61" s="3" t="n"/>
      <c r="D61" s="3" t="inlineStr">
        <is>
          <t>Scholarship</t>
        </is>
      </c>
      <c r="E61" s="3" t="inlineStr">
        <is>
          <t>GCUB-Brazil Doctoral Fellowship Track</t>
        </is>
      </c>
      <c r="F61" s="3" t="inlineStr">
        <is>
          <t>GCUB &amp; Brazilian Universities</t>
        </is>
      </c>
      <c r="G61" s="3" t="inlineStr">
        <is>
          <t>Latin America &amp; Caribbean</t>
        </is>
      </c>
      <c r="H61" s="3" t="inlineStr">
        <is>
          <t>Brazil</t>
        </is>
      </c>
      <c r="I61" s="3" t="inlineStr">
        <is>
          <t>PhD</t>
        </is>
      </c>
      <c r="J61" s="3" t="inlineStr">
        <is>
          <t>All fields</t>
        </is>
      </c>
      <c r="K61" s="3" t="inlineStr">
        <is>
          <t>Full</t>
        </is>
      </c>
      <c r="L61" s="3" t="inlineStr">
        <is>
          <t>Full Tuition Waiver + Monthly Stipend (Full doctoral funding for up to 48 months at top-tier Brazilian research universities)</t>
        </is>
      </c>
      <c r="M61" s="3" t="inlineStr">
        <is>
          <t>July (Annual unified call)</t>
        </is>
      </c>
      <c r="N61" s="3" t="inlineStr">
        <is>
          <t>Master’s degree holders from across the globe; research proposal aligned with Brazilian graduate program faculty lines.</t>
        </is>
      </c>
      <c r="O61" s="3" t="inlineStr">
        <is>
          <t>High: Unified Application Portal + Doctoral Research Project Outline + Academic CV</t>
        </is>
      </c>
      <c r="P61" s="3" t="inlineStr">
        <is>
          <t>Master's Graduates Ready for Long-Term Doctoral Research in Brazil</t>
        </is>
      </c>
      <c r="Q61" s="3" t="inlineStr">
        <is>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is>
      </c>
      <c r="R61" s="3" t="inlineStr">
        <is>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is>
      </c>
      <c r="S61" s="3" t="inlineStr">
        <is>
          <t>Academic record and GPA strength (40%), Alignment of research goals with Brazilian graduate programs (40%), Completeness and presentation of documentation (20%).</t>
        </is>
      </c>
      <c r="T61" s="3" t="inlineStr">
        <is>
          <t>Highly motivated international researchers who embrace linguistic adaptation (Portuguese immersion) and tap into Brazil’s robust agricultural, public health, and engineering laboratory networks.</t>
        </is>
      </c>
      <c r="U61" s="3" t="n"/>
      <c r="V61" s="3" t="inlineStr">
        <is>
          <t>http://www.gcub.org.br/</t>
        </is>
      </c>
      <c r="W61" s="3" t="n"/>
      <c r="X61" s="3" t="n"/>
      <c r="Y61" s="3" t="n"/>
      <c r="Z61" s="3" t="inlineStr">
        <is>
          <t>Research</t>
        </is>
      </c>
      <c r="AA61" s="4" t="n"/>
      <c r="AB61" s="4" t="n"/>
      <c r="AC61" s="3">
        <f>IF(AND(E61&lt;&gt;"",COUNTIF($E$2:$E$800,E61)&gt;1),"DUPLICATE","")</f>
        <v/>
      </c>
    </row>
    <row r="62" ht="43.2" customHeight="1">
      <c r="A62" s="3" t="inlineStr">
        <is>
          <t>fundaci-n-carolina-postgraduate-phd-fellowships-phd</t>
        </is>
      </c>
      <c r="B62" s="3" t="inlineStr">
        <is>
          <t>Open</t>
        </is>
      </c>
      <c r="C62" s="3" t="n"/>
      <c r="D62" s="3" t="inlineStr">
        <is>
          <t>Scholarship</t>
        </is>
      </c>
      <c r="E62" s="3" t="inlineStr">
        <is>
          <t>Fundación Carolina Postgraduate &amp; PhD Fellowships</t>
        </is>
      </c>
      <c r="F62" s="3" t="inlineStr">
        <is>
          <t>Spain &amp; Latin America</t>
        </is>
      </c>
      <c r="G62" s="3" t="inlineStr">
        <is>
          <t>Latin America &amp; Caribbean</t>
        </is>
      </c>
      <c r="H62" s="3" t="inlineStr">
        <is>
          <t>Spain</t>
        </is>
      </c>
      <c r="I62" s="3" t="inlineStr">
        <is>
          <t>PhD</t>
        </is>
      </c>
      <c r="J62" s="3" t="inlineStr">
        <is>
          <t>All fields</t>
        </is>
      </c>
      <c r="K62" s="3" t="inlineStr">
        <is>
          <t>Full</t>
        </is>
      </c>
      <c r="L62" s="3" t="inlineStr">
        <is>
          <t>Full Support (Airfare, tuition fee coverage, health insurance, and monthly stipend for doctoral/postdoctoral research)</t>
        </is>
      </c>
      <c r="M62" s="3" t="inlineStr">
        <is>
          <t>March (Annual call for Latin American scholars)</t>
        </is>
      </c>
      <c r="N62" s="3" t="inlineStr">
        <is>
          <t>Nationals of a Latin American country belonging to the Ibero-American Community of Nations; excellent academic record.</t>
        </is>
      </c>
      <c r="O62" s="3" t="inlineStr">
        <is>
          <t>High: Fundación Carolina Portal Application + Academic Transcripts + Letters of Recommendation</t>
        </is>
      </c>
      <c r="P62" s="3" t="inlineStr">
        <is>
          <t>Latin American Scholars Pursuing Advanced Research Ties with Spain</t>
        </is>
      </c>
      <c r="Q62" s="3" t="n"/>
      <c r="R62" s="3" t="n"/>
      <c r="S62" s="3" t="n"/>
      <c r="T62" s="3" t="n"/>
      <c r="U62" s="3" t="n"/>
      <c r="V62" s="3" t="n"/>
      <c r="W62" s="3" t="n"/>
      <c r="X62" s="3" t="n"/>
      <c r="Y62" s="3" t="n"/>
      <c r="Z62" s="3" t="n"/>
      <c r="AA62" s="4" t="n"/>
      <c r="AB62" s="4" t="n"/>
      <c r="AC62" s="3">
        <f>IF(AND(E62&lt;&gt;"",COUNTIF($E$2:$E$800,E62)&gt;1),"DUPLICATE","")</f>
        <v/>
      </c>
    </row>
    <row r="63" ht="129.6" customHeight="1">
      <c r="A63" s="3" t="inlineStr">
        <is>
          <t>australia-awards-scholarships-undergraduate-track-bachelor</t>
        </is>
      </c>
      <c r="B63" s="3" t="inlineStr">
        <is>
          <t>Open</t>
        </is>
      </c>
      <c r="C63" s="3" t="n"/>
      <c r="D63" s="3" t="inlineStr">
        <is>
          <t>Scholarship</t>
        </is>
      </c>
      <c r="E63" s="3" t="inlineStr">
        <is>
          <t>Australia Awards Scholarships (Undergraduate Track)</t>
        </is>
      </c>
      <c r="F63" s="3" t="inlineStr">
        <is>
          <t>Australian Department of Foreign Affairs and Trade — DFAT</t>
        </is>
      </c>
      <c r="G63" s="3" t="inlineStr">
        <is>
          <t>Oceania</t>
        </is>
      </c>
      <c r="H63" s="3" t="inlineStr">
        <is>
          <t>Australia</t>
        </is>
      </c>
      <c r="I63" s="3" t="inlineStr">
        <is>
          <t>Bachelor</t>
        </is>
      </c>
      <c r="J63" s="3" t="inlineStr">
        <is>
          <t>All fields</t>
        </is>
      </c>
      <c r="K63" s="3" t="inlineStr">
        <is>
          <t>Full</t>
        </is>
      </c>
      <c r="L63" s="3" t="inlineStr">
        <is>
          <t>Full Ride (Full tuition fees, return airfare, establishment allowance, contribution to living expenses, OSHC)</t>
        </is>
      </c>
      <c r="M63" s="3" t="inlineStr">
        <is>
          <t>April 30 (Annual cycle for following year intake)</t>
        </is>
      </c>
      <c r="N63" s="3" t="inlineStr">
        <is>
          <t>Citizens of participating developing partner countries (primarily Pacific region and select SIDS for undergraduate study); leadership potential.</t>
        </is>
      </c>
      <c r="O63" s="3" t="inlineStr">
        <is>
          <t>High: Online OASIS Portal Application + Country-Specific Supplementary Forms + References</t>
        </is>
      </c>
      <c r="P63" s="3" t="inlineStr">
        <is>
          <t>Eligible Pacific Region High School Graduates</t>
        </is>
      </c>
      <c r="Q63" s="3" t="inlineStr">
        <is>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is>
      </c>
      <c r="R63" s="3" t="inlineStr">
        <is>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is>
      </c>
      <c r="S63" s="3" t="inlineStr">
        <is>
          <t>Academic competence (30%), Professional and leadership competence (40%), Potential outcome contribution to home country's development (30%).</t>
        </is>
      </c>
      <c r="T63" s="3" t="inlineStr">
        <is>
          <t>Mid-career government officials, NGO directors, and sector specialists from eligible developing nations who demonstrate a clear strategy to drive reform upon returning home (note: scholars must leave Australia for at least 2 years post-graduation).</t>
        </is>
      </c>
      <c r="U63" s="3" t="n"/>
      <c r="V63" s="3" t="inlineStr">
        <is>
          <t>https://www.dfat.gov.au/people-to-people/australia-awards/australia-awards-scholarships</t>
        </is>
      </c>
      <c r="W63" s="3" t="n"/>
      <c r="X63" s="3" t="n"/>
      <c r="Y63" s="3" t="n"/>
      <c r="Z63" s="3" t="n"/>
      <c r="AA63" s="4" t="n"/>
      <c r="AB63" s="4" t="n"/>
      <c r="AC63" s="3">
        <f>IF(AND(E63&lt;&gt;"",COUNTIF($E$2:$E$800,E63)&gt;1),"DUPLICATE","")</f>
        <v/>
      </c>
    </row>
    <row r="64" ht="72" customHeight="1">
      <c r="A64" s="3" t="inlineStr">
        <is>
          <t>university-of-sydney-international-strategic-scholarships-ba</t>
        </is>
      </c>
      <c r="B64" s="3" t="inlineStr">
        <is>
          <t>Open</t>
        </is>
      </c>
      <c r="C64" s="3" t="n"/>
      <c r="D64" s="3" t="inlineStr">
        <is>
          <t>Scholarship</t>
        </is>
      </c>
      <c r="E64" s="3" t="inlineStr">
        <is>
          <t>University of Sydney International Strategic Scholarships</t>
        </is>
      </c>
      <c r="F64" s="3" t="inlineStr">
        <is>
          <t>University of Sydney</t>
        </is>
      </c>
      <c r="G64" s="3" t="inlineStr">
        <is>
          <t>Oceania</t>
        </is>
      </c>
      <c r="H64" s="3" t="inlineStr">
        <is>
          <t>Australia</t>
        </is>
      </c>
      <c r="I64" s="3" t="inlineStr">
        <is>
          <t>Bachelor</t>
        </is>
      </c>
      <c r="J64" s="3" t="inlineStr">
        <is>
          <t>All fields</t>
        </is>
      </c>
      <c r="K64" s="3" t="inlineStr">
        <is>
          <t>Full</t>
        </is>
      </c>
      <c r="L64" s="3" t="inlineStr">
        <is>
          <t>Full Tuition + Living Allowance Support (Varies by specific faculty and merit tier)</t>
        </is>
      </c>
      <c r="M64" s="3" t="inlineStr">
        <is>
          <t>January / July (Aligned with intake semesters)</t>
        </is>
      </c>
      <c r="N64" s="3" t="inlineStr">
        <is>
          <t>International students enrolling in undergraduate coursework; outstanding high school academic results (ATAR/IB equivalents).</t>
        </is>
      </c>
      <c r="O64" s="3" t="inlineStr">
        <is>
          <t>Medium: University Admission Application + Automatic Consideration or Secondary Form</t>
        </is>
      </c>
      <c r="P64" s="3" t="inlineStr">
        <is>
          <t>High-Achieving International Undergraduates Targeting Sydney</t>
        </is>
      </c>
      <c r="Q64" s="3" t="n"/>
      <c r="R64" s="3" t="n"/>
      <c r="S64" s="3" t="n"/>
      <c r="T64" s="3" t="n"/>
      <c r="U64" s="3" t="n"/>
      <c r="V64" s="3" t="n"/>
      <c r="W64" s="3" t="n"/>
      <c r="X64" s="3" t="n"/>
      <c r="Y64" s="3" t="n"/>
      <c r="Z64" s="3" t="n"/>
      <c r="AA64" s="4" t="n"/>
      <c r="AB64" s="4" t="n"/>
      <c r="AC64" s="3">
        <f>IF(AND(E64&lt;&gt;"",COUNTIF($E$2:$E$800,E64)&gt;1),"DUPLICATE","")</f>
        <v/>
      </c>
    </row>
    <row r="65" ht="57.6" customHeight="1">
      <c r="A65" s="3" t="inlineStr">
        <is>
          <t>monash-university-international-leadership-scholarship-bache</t>
        </is>
      </c>
      <c r="B65" s="3" t="inlineStr">
        <is>
          <t>Open</t>
        </is>
      </c>
      <c r="C65" s="3" t="n"/>
      <c r="D65" s="3" t="inlineStr">
        <is>
          <t>Scholarship</t>
        </is>
      </c>
      <c r="E65" s="3" t="inlineStr">
        <is>
          <t>Monash University International Leadership Scholarship</t>
        </is>
      </c>
      <c r="F65" s="3" t="inlineStr">
        <is>
          <t>Monash University</t>
        </is>
      </c>
      <c r="G65" s="3" t="inlineStr">
        <is>
          <t>Oceania</t>
        </is>
      </c>
      <c r="H65" s="3" t="inlineStr">
        <is>
          <t>Australia</t>
        </is>
      </c>
      <c r="I65" s="3" t="inlineStr">
        <is>
          <t>Bachelor</t>
        </is>
      </c>
      <c r="J65" s="3" t="inlineStr">
        <is>
          <t>All fields</t>
        </is>
      </c>
      <c r="K65" s="3" t="inlineStr">
        <is>
          <t>Full</t>
        </is>
      </c>
      <c r="L65" s="3" t="inlineStr">
        <is>
          <t>100% Coursework Tuition Fee Waiver (For the full normal duration of the undergraduate degree)</t>
        </is>
      </c>
      <c r="M65" s="3" t="inlineStr">
        <is>
          <t>December / November (Staggered rounds)</t>
        </is>
      </c>
      <c r="N65" s="3" t="inlineStr">
        <is>
          <t>International students receiving a full-fee undergraduate offer; exceptional leadership skills and community engagement.</t>
        </is>
      </c>
      <c r="O65" s="3" t="inlineStr">
        <is>
          <t>High: University Admission Offer + Scholarship Application + 500-word Personal Statement</t>
        </is>
      </c>
      <c r="P65" s="3" t="inlineStr">
        <is>
          <t>Exceptional International Undergraduates with Leadership Records</t>
        </is>
      </c>
      <c r="Q65" s="3" t="n"/>
      <c r="R65" s="3" t="n"/>
      <c r="S65" s="3" t="n"/>
      <c r="T65" s="3" t="n"/>
      <c r="U65" s="3" t="n"/>
      <c r="V65" s="3" t="n"/>
      <c r="W65" s="3" t="n"/>
      <c r="X65" s="3" t="n"/>
      <c r="Y65" s="3" t="n"/>
      <c r="Z65" s="3" t="n"/>
      <c r="AA65" s="4" t="n"/>
      <c r="AB65" s="4" t="n"/>
      <c r="AC65" s="3">
        <f>IF(AND(E65&lt;&gt;"",COUNTIF($E$2:$E$800,E65)&gt;1),"DUPLICATE","")</f>
        <v/>
      </c>
    </row>
    <row r="66" ht="129.6" customHeight="1">
      <c r="A66" s="3" t="inlineStr">
        <is>
          <t>australia-awards-scholarships-master-s-track-master</t>
        </is>
      </c>
      <c r="B66" s="3" t="inlineStr">
        <is>
          <t>Open</t>
        </is>
      </c>
      <c r="C66" s="3" t="n"/>
      <c r="D66" s="3" t="inlineStr">
        <is>
          <t>Scholarship</t>
        </is>
      </c>
      <c r="E66" s="3" t="inlineStr">
        <is>
          <t>Australia Awards Scholarships (Master's Track)</t>
        </is>
      </c>
      <c r="F66" s="3" t="inlineStr">
        <is>
          <t>Australian DFAT</t>
        </is>
      </c>
      <c r="G66" s="3" t="inlineStr">
        <is>
          <t>Oceania</t>
        </is>
      </c>
      <c r="H66" s="3" t="inlineStr">
        <is>
          <t>Australia</t>
        </is>
      </c>
      <c r="I66" s="3" t="inlineStr">
        <is>
          <t>Master</t>
        </is>
      </c>
      <c r="J66" s="3" t="inlineStr">
        <is>
          <t>All fields</t>
        </is>
      </c>
      <c r="K66" s="3" t="inlineStr">
        <is>
          <t>Full</t>
        </is>
      </c>
      <c r="L66" s="3" t="inlineStr">
        <is>
          <t>Full Ride (Full tuition, return airfares, establishment allowance, living stipend, overseas student health cover)</t>
        </is>
      </c>
      <c r="M66" s="3" t="inlineStr">
        <is>
          <t>April 30 (Annual cycle)</t>
        </is>
      </c>
      <c r="N66" s="3" t="inlineStr">
        <is>
          <t>Citizens of target partner countries across Asia, the Pacific, Africa, and the Middle East; professional work experience.</t>
        </is>
      </c>
      <c r="O66" s="3" t="inlineStr">
        <is>
          <t>High: OASIS Portal Application + Professional CV + Employer Support + 2 Referees</t>
        </is>
      </c>
      <c r="P66" s="3" t="inlineStr">
        <is>
          <t>Mid-Career Professionals from Eligible Partner Countries</t>
        </is>
      </c>
      <c r="Q66" s="3" t="inlineStr">
        <is>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is>
      </c>
      <c r="R66" s="3" t="inlineStr">
        <is>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is>
      </c>
      <c r="S66" s="3" t="inlineStr">
        <is>
          <t>Academic competence (30%), Professional and leadership competence (40%), Potential outcome contribution to home country's development (30%).</t>
        </is>
      </c>
      <c r="T66" s="3" t="inlineStr">
        <is>
          <t>Mid-career government officials, NGO directors, and sector specialists from eligible developing nations who demonstrate a clear strategy to drive reform upon returning home (note: scholars must leave Australia for at least 2 years post-graduation).</t>
        </is>
      </c>
      <c r="U66" s="3" t="n"/>
      <c r="V66" s="3" t="inlineStr">
        <is>
          <t>https://www.dfat.gov.au/people-to-people/australia-awards/australia-awards-scholarships</t>
        </is>
      </c>
      <c r="W66" s="3" t="n"/>
      <c r="X66" s="3" t="n"/>
      <c r="Y66" s="3" t="n"/>
      <c r="Z66" s="3" t="inlineStr">
        <is>
          <t>Work experience</t>
        </is>
      </c>
      <c r="AA66" s="4" t="n"/>
      <c r="AB66" s="4" t="n"/>
      <c r="AC66" s="3">
        <f>IF(AND(E66&lt;&gt;"",COUNTIF($E$2:$E$800,E66)&gt;1),"DUPLICATE","")</f>
        <v/>
      </c>
    </row>
    <row r="67" ht="57.6" customHeight="1">
      <c r="A67" s="3" t="inlineStr">
        <is>
          <t>australia-for-asean-scholarships-master</t>
        </is>
      </c>
      <c r="B67" s="3" t="inlineStr">
        <is>
          <t>Open</t>
        </is>
      </c>
      <c r="C67" s="3" t="n"/>
      <c r="D67" s="3" t="inlineStr">
        <is>
          <t>Scholarship</t>
        </is>
      </c>
      <c r="E67" s="3" t="inlineStr">
        <is>
          <t>Australia for ASEAN Scholarships</t>
        </is>
      </c>
      <c r="F67" s="3" t="inlineStr">
        <is>
          <t>Australian Government</t>
        </is>
      </c>
      <c r="G67" s="3" t="inlineStr">
        <is>
          <t>Oceania</t>
        </is>
      </c>
      <c r="H67" s="3" t="inlineStr">
        <is>
          <t>Australia</t>
        </is>
      </c>
      <c r="I67" s="3" t="inlineStr">
        <is>
          <t>Master</t>
        </is>
      </c>
      <c r="J67" s="3" t="inlineStr">
        <is>
          <t>Social Sciences &amp; Humanities</t>
        </is>
      </c>
      <c r="K67" s="3" t="inlineStr">
        <is>
          <t>Full</t>
        </is>
      </c>
      <c r="L67" s="3" t="inlineStr">
        <is>
          <t>Full Master's Sponsorship (Full tuition, living allowance, airfare, introductory academic program)</t>
        </is>
      </c>
      <c r="M67" s="3" t="inlineStr">
        <is>
          <t>April 30 (Annual cycle)</t>
        </is>
      </c>
      <c r="N67" s="3" t="inlineStr">
        <is>
          <t>Citizens of ASEAN member states (Indonesia, Vietnam, Thailand, etc.) and Timor-Leste; focus on Indo-Pacific priority areas.</t>
        </is>
      </c>
      <c r="O67" s="3" t="inlineStr">
        <is>
          <t>High: Online Portal Application + Professional Background Statement + Endorsement</t>
        </is>
      </c>
      <c r="P67" s="3" t="inlineStr">
        <is>
          <t>ASEAN Professionals Seeking Master's Leadership Training</t>
        </is>
      </c>
      <c r="Q67" s="3" t="n"/>
      <c r="R67" s="3" t="n"/>
      <c r="S67" s="3" t="n"/>
      <c r="T67" s="3" t="n"/>
      <c r="U67" s="3" t="n"/>
      <c r="V67" s="3" t="n"/>
      <c r="W67" s="3" t="n"/>
      <c r="X67" s="3" t="n"/>
      <c r="Y67" s="3" t="n"/>
      <c r="Z67" s="3" t="n"/>
      <c r="AA67" s="4" t="n"/>
      <c r="AB67" s="4" t="n"/>
      <c r="AC67" s="3">
        <f>IF(AND(E67&lt;&gt;"",COUNTIF($E$2:$E$800,E67)&gt;1),"DUPLICATE","")</f>
        <v/>
      </c>
    </row>
    <row r="68" ht="72" customHeight="1">
      <c r="A68" s="3" t="inlineStr">
        <is>
          <t>melbourne-graduate-research-scholarships-coursework-research</t>
        </is>
      </c>
      <c r="B68" s="3" t="inlineStr">
        <is>
          <t>Open</t>
        </is>
      </c>
      <c r="C68" s="3" t="n"/>
      <c r="D68" s="3" t="inlineStr">
        <is>
          <t>Scholarship</t>
        </is>
      </c>
      <c r="E68" s="3" t="inlineStr">
        <is>
          <t>Melbourne Graduate Research Scholarships (Coursework/Research)</t>
        </is>
      </c>
      <c r="F68" s="3" t="inlineStr">
        <is>
          <t>University of Melbourne</t>
        </is>
      </c>
      <c r="G68" s="3" t="inlineStr">
        <is>
          <t>Oceania</t>
        </is>
      </c>
      <c r="H68" s="3" t="inlineStr">
        <is>
          <t>Australia</t>
        </is>
      </c>
      <c r="I68" s="3" t="inlineStr">
        <is>
          <t>Master</t>
        </is>
      </c>
      <c r="J68" s="3" t="inlineStr">
        <is>
          <t>All fields</t>
        </is>
      </c>
      <c r="K68" s="3" t="inlineStr">
        <is>
          <t>Full</t>
        </is>
      </c>
      <c r="L68" s="3" t="inlineStr">
        <is>
          <t>Full Fee Offset + Living Allowance (Fee offset + ~AUD $39,500 annual living stipend + relocation grant)</t>
        </is>
      </c>
      <c r="M68" s="3" t="inlineStr">
        <is>
          <t>October / Rolling</t>
        </is>
      </c>
      <c r="N68" s="3" t="inlineStr">
        <is>
          <t>International and domestic students admitted to a graduate research degree (Master's by Research or PhD) with stellar academic marks.</t>
        </is>
      </c>
      <c r="O68" s="3" t="inlineStr">
        <is>
          <t>Medium-High: Graduate Course Application (automatic consideration for research scholars)</t>
        </is>
      </c>
      <c r="P68" s="3" t="inlineStr">
        <is>
          <t>Top-Tier Research Master's Applicants</t>
        </is>
      </c>
      <c r="Q68" s="3" t="n"/>
      <c r="R68" s="3" t="n"/>
      <c r="S68" s="3" t="n"/>
      <c r="T68" s="3" t="n"/>
      <c r="U68" s="3" t="n"/>
      <c r="V68" s="3" t="n"/>
      <c r="W68" s="3" t="n"/>
      <c r="X68" s="3" t="n"/>
      <c r="Y68" s="3" t="n"/>
      <c r="Z68" s="3" t="inlineStr">
        <is>
          <t>Research</t>
        </is>
      </c>
      <c r="AA68" s="4" t="n"/>
      <c r="AB68" s="4" t="n"/>
      <c r="AC68" s="3">
        <f>IF(AND(E68&lt;&gt;"",COUNTIF($E$2:$E$800,E68)&gt;1),"DUPLICATE","")</f>
        <v/>
      </c>
    </row>
    <row r="69" ht="57.6" customHeight="1">
      <c r="A69" s="3" t="inlineStr">
        <is>
          <t>unsw-scientia-coursework-scholarship-master</t>
        </is>
      </c>
      <c r="B69" s="3" t="inlineStr">
        <is>
          <t>Open</t>
        </is>
      </c>
      <c r="C69" s="3" t="n"/>
      <c r="D69" s="3" t="inlineStr">
        <is>
          <t>Scholarship</t>
        </is>
      </c>
      <c r="E69" s="3" t="inlineStr">
        <is>
          <t>UNSW Scientia Coursework Scholarship</t>
        </is>
      </c>
      <c r="F69" s="3" t="inlineStr">
        <is>
          <t>University of New South Wales</t>
        </is>
      </c>
      <c r="G69" s="3" t="inlineStr">
        <is>
          <t>Oceania</t>
        </is>
      </c>
      <c r="H69" s="3" t="inlineStr">
        <is>
          <t>Australia</t>
        </is>
      </c>
      <c r="I69" s="3" t="inlineStr">
        <is>
          <t>Master</t>
        </is>
      </c>
      <c r="J69" s="3" t="inlineStr">
        <is>
          <t>All fields</t>
        </is>
      </c>
      <c r="K69" s="3" t="inlineStr">
        <is>
          <t>Partial</t>
        </is>
      </c>
      <c r="L69" s="3" t="inlineStr">
        <is>
          <t>Full Tuition or AU$20,000 per year for the duration of the program</t>
        </is>
      </c>
      <c r="M69" s="3" t="inlineStr">
        <is>
          <t>July / November</t>
        </is>
      </c>
      <c r="N69" s="3" t="inlineStr">
        <is>
          <t>High-achieving international students undertaking undergraduate or postgraduate coursework programs at UNSW.</t>
        </is>
      </c>
      <c r="O69" s="3" t="inlineStr">
        <is>
          <t>Medium: Admission Application + Separate Scientia Scholarship Essay</t>
        </is>
      </c>
      <c r="P69" s="3" t="inlineStr">
        <is>
          <t>High-Achieving Coursework Applicants</t>
        </is>
      </c>
      <c r="Q69" s="3" t="n"/>
      <c r="R69" s="3" t="n"/>
      <c r="S69" s="3" t="n"/>
      <c r="T69" s="3" t="n"/>
      <c r="U69" s="3" t="n"/>
      <c r="V69" s="3" t="n"/>
      <c r="W69" s="3" t="n"/>
      <c r="X69" s="3" t="n"/>
      <c r="Y69" s="3" t="n"/>
      <c r="Z69" s="3" t="n"/>
      <c r="AA69" s="4" t="n"/>
      <c r="AB69" s="4" t="n"/>
      <c r="AC69" s="3">
        <f>IF(AND(E69&lt;&gt;"",COUNTIF($E$2:$E$800,E69)&gt;1),"DUPLICATE","")</f>
        <v/>
      </c>
    </row>
    <row r="70" ht="144" customHeight="1">
      <c r="A70" s="3" t="inlineStr">
        <is>
          <t>australian-government-research-training-program-rtp-phd</t>
        </is>
      </c>
      <c r="B70" s="3" t="inlineStr">
        <is>
          <t>Open</t>
        </is>
      </c>
      <c r="C70" s="3" t="n"/>
      <c r="D70" s="3" t="inlineStr">
        <is>
          <t>Scholarship</t>
        </is>
      </c>
      <c r="E70" s="3" t="inlineStr">
        <is>
          <t>Australian Government Research Training Program (RTP)</t>
        </is>
      </c>
      <c r="F70" s="3" t="inlineStr">
        <is>
          <t>Australian Universities / Department of Education</t>
        </is>
      </c>
      <c r="G70" s="3" t="inlineStr">
        <is>
          <t>Oceania</t>
        </is>
      </c>
      <c r="H70" s="3" t="inlineStr">
        <is>
          <t>Australia</t>
        </is>
      </c>
      <c r="I70" s="3" t="inlineStr">
        <is>
          <t>PhD</t>
        </is>
      </c>
      <c r="J70" s="3" t="inlineStr">
        <is>
          <t>All fields</t>
        </is>
      </c>
      <c r="K70" s="3" t="inlineStr">
        <is>
          <t>Full</t>
        </is>
      </c>
      <c r="L70" s="3" t="inlineStr">
        <is>
          <t>Full Research Package (Tuition fee offset + annual living stipend ~$37,000–$42,750 + health cover)</t>
        </is>
      </c>
      <c r="M70" s="3" t="inlineStr">
        <is>
          <t>Rolling / Staggered (Managed directly by individual universities e.g., ANU, Sydney, Melbourne, Monash, UQ)</t>
        </is>
      </c>
      <c r="N70" s="3" t="inlineStr">
        <is>
          <t>Outstanding international and domestic students enrolled in a Research Doctorate (PhD) or Research Master's degree.</t>
        </is>
      </c>
      <c r="O70" s="3" t="inlineStr">
        <is>
          <t>Very High: University Admission + Research Proposal + Potential Supervisor Support + CV</t>
        </is>
      </c>
      <c r="P70" s="3" t="inlineStr">
        <is>
          <t>Global PhD Researchers Seeking Full Australian State Funding</t>
        </is>
      </c>
      <c r="Q70" s="3" t="inlineStr">
        <is>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is>
      </c>
      <c r="R70" s="3" t="inlineStr">
        <is>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is>
      </c>
      <c r="S70" s="3" t="inlineStr">
        <is>
          <t>Academic merit and publication track record (50%), Quality and feasibility of the research proposal (30%), Supervisor alignment and university research capacity (20%).</t>
        </is>
      </c>
      <c r="T70" s="3" t="inlineStr">
        <is>
          <t>Exceptional research graduates with prior thesis experience, co-authored journal papers, or top university rankings who secure a faculty supervisor advocate before official application rounds.</t>
        </is>
      </c>
      <c r="U70" s="3" t="n"/>
      <c r="V70" s="3" t="inlineStr">
        <is>
          <t>https://www.education.gov.au/research-training-program</t>
        </is>
      </c>
      <c r="W70" s="3" t="n"/>
      <c r="X70" s="3" t="n"/>
      <c r="Y70" s="3" t="n"/>
      <c r="Z70" s="3" t="inlineStr">
        <is>
          <t>Research</t>
        </is>
      </c>
      <c r="AA70" s="4" t="n"/>
      <c r="AB70" s="4" t="n"/>
      <c r="AC70" s="3">
        <f>IF(AND(E70&lt;&gt;"",COUNTIF($E$2:$E$800,E70)&gt;1),"DUPLICATE","")</f>
        <v/>
      </c>
    </row>
    <row r="71" ht="43.2" customHeight="1">
      <c r="A71" s="3" t="inlineStr">
        <is>
          <t>sydney-university-postgraduate-award-usydis-phd</t>
        </is>
      </c>
      <c r="B71" s="3" t="inlineStr">
        <is>
          <t>Open</t>
        </is>
      </c>
      <c r="C71" s="3" t="n"/>
      <c r="D71" s="3" t="inlineStr">
        <is>
          <t>Scholarship</t>
        </is>
      </c>
      <c r="E71" s="3" t="inlineStr">
        <is>
          <t>Sydney University Postgraduate Award (USYDIS)</t>
        </is>
      </c>
      <c r="F71" s="3" t="inlineStr">
        <is>
          <t>University of Sydney</t>
        </is>
      </c>
      <c r="G71" s="3" t="inlineStr">
        <is>
          <t>Oceania</t>
        </is>
      </c>
      <c r="H71" s="3" t="inlineStr">
        <is>
          <t>Australia</t>
        </is>
      </c>
      <c r="I71" s="3" t="inlineStr">
        <is>
          <t>PhD</t>
        </is>
      </c>
      <c r="J71" s="3" t="inlineStr">
        <is>
          <t>All fields</t>
        </is>
      </c>
      <c r="K71" s="3" t="inlineStr">
        <is>
          <t>Full</t>
        </is>
      </c>
      <c r="L71" s="3" t="inlineStr">
        <is>
          <t>Full Tuition + ~AUD $42,754 annual stipend (For up to 3.5 years for PhD candidates)</t>
        </is>
      </c>
      <c r="M71" s="3" t="inlineStr">
        <is>
          <t>Staggered rounds</t>
        </is>
      </c>
      <c r="N71" s="3" t="inlineStr">
        <is>
          <t>International postgraduate research students with First Class Honours equivalent academic standing.</t>
        </is>
      </c>
      <c r="O71" s="3" t="inlineStr">
        <is>
          <t>High: Research Admission Portal + Scholarship Application Form + Supervisor Endorsement</t>
        </is>
      </c>
      <c r="P71" s="3" t="inlineStr">
        <is>
          <t>Elite PhD Candidates Targeting Sydney</t>
        </is>
      </c>
      <c r="Q71" s="3" t="n"/>
      <c r="R71" s="3" t="n"/>
      <c r="S71" s="3" t="n"/>
      <c r="T71" s="3" t="n"/>
      <c r="U71" s="3" t="n"/>
      <c r="V71" s="3" t="n"/>
      <c r="W71" s="3" t="n"/>
      <c r="X71" s="3" t="n"/>
      <c r="Y71" s="3" t="n"/>
      <c r="Z71" s="3" t="inlineStr">
        <is>
          <t>Research</t>
        </is>
      </c>
      <c r="AA71" s="4" t="n"/>
      <c r="AB71" s="4" t="n"/>
      <c r="AC71" s="3">
        <f>IF(AND(E71&lt;&gt;"",COUNTIF($E$2:$E$800,E71)&gt;1),"DUPLICATE","")</f>
        <v/>
      </c>
    </row>
    <row r="72" ht="43.2" customHeight="1">
      <c r="A72" s="3" t="inlineStr">
        <is>
          <t>monash-graduate-scholarship-mgs-mits-phd</t>
        </is>
      </c>
      <c r="B72" s="3" t="inlineStr">
        <is>
          <t>Open</t>
        </is>
      </c>
      <c r="C72" s="3" t="n"/>
      <c r="D72" s="3" t="inlineStr">
        <is>
          <t>Scholarship</t>
        </is>
      </c>
      <c r="E72" s="3" t="inlineStr">
        <is>
          <t>Monash Graduate Scholarship (MGS) + MITS</t>
        </is>
      </c>
      <c r="F72" s="3" t="inlineStr">
        <is>
          <t>Monash University</t>
        </is>
      </c>
      <c r="G72" s="3" t="inlineStr">
        <is>
          <t>Oceania</t>
        </is>
      </c>
      <c r="H72" s="3" t="inlineStr">
        <is>
          <t>Australia</t>
        </is>
      </c>
      <c r="I72" s="3" t="inlineStr">
        <is>
          <t>PhD</t>
        </is>
      </c>
      <c r="J72" s="3" t="inlineStr">
        <is>
          <t>All fields</t>
        </is>
      </c>
      <c r="K72" s="3" t="inlineStr">
        <is>
          <t>Full</t>
        </is>
      </c>
      <c r="L72" s="3" t="inlineStr">
        <is>
          <t>Full Tuition Offset + ~AUD $37,145 annual stipend</t>
        </is>
      </c>
      <c r="M72" s="3" t="inlineStr">
        <is>
          <t>Staggered rounds</t>
        </is>
      </c>
      <c r="N72" s="3" t="inlineStr">
        <is>
          <t>High-caliber international students undertaking a PhD or Master's by Research at Monash University.</t>
        </is>
      </c>
      <c r="O72" s="3" t="inlineStr">
        <is>
          <t>High: Graduate Research Admission &amp; Scholarship Application</t>
        </is>
      </c>
      <c r="P72" s="3" t="inlineStr">
        <is>
          <t>STEM and Humanities Doctoral Researchers at Monash</t>
        </is>
      </c>
      <c r="Q72" s="3" t="n"/>
      <c r="R72" s="3" t="n"/>
      <c r="S72" s="3" t="n"/>
      <c r="T72" s="3" t="n"/>
      <c r="U72" s="3" t="n"/>
      <c r="V72" s="3" t="n"/>
      <c r="W72" s="3" t="n"/>
      <c r="X72" s="3" t="n"/>
      <c r="Y72" s="3" t="n"/>
      <c r="Z72" s="3" t="inlineStr">
        <is>
          <t>Research</t>
        </is>
      </c>
      <c r="AA72" s="4" t="n"/>
      <c r="AB72" s="4" t="n"/>
      <c r="AC72" s="3">
        <f>IF(AND(E72&lt;&gt;"",COUNTIF($E$2:$E$800,E72)&gt;1),"DUPLICATE","")</f>
        <v/>
      </c>
    </row>
    <row r="73" ht="129.6" customHeight="1">
      <c r="A73" s="3" t="inlineStr">
        <is>
          <t>manaaki-new-zealand-scholarships-undergraduate-track-bachelo</t>
        </is>
      </c>
      <c r="B73" s="3" t="inlineStr">
        <is>
          <t>Open</t>
        </is>
      </c>
      <c r="C73" s="3" t="n"/>
      <c r="D73" s="3" t="inlineStr">
        <is>
          <t>Scholarship</t>
        </is>
      </c>
      <c r="E73" s="3" t="inlineStr">
        <is>
          <t>Manaaki New Zealand Scholarships (Undergraduate Track)</t>
        </is>
      </c>
      <c r="F73" s="3" t="inlineStr">
        <is>
          <t>New Zealand Ministry of Foreign Affairs and Trade — MFAT</t>
        </is>
      </c>
      <c r="G73" s="3" t="inlineStr">
        <is>
          <t>Oceania</t>
        </is>
      </c>
      <c r="H73" s="3" t="inlineStr">
        <is>
          <t>New Zealand</t>
        </is>
      </c>
      <c r="I73" s="3" t="inlineStr">
        <is>
          <t>Bachelor</t>
        </is>
      </c>
      <c r="J73" s="3" t="inlineStr">
        <is>
          <t>All fields</t>
        </is>
      </c>
      <c r="K73" s="3" t="inlineStr">
        <is>
          <t>Full</t>
        </is>
      </c>
      <c r="L73" s="3" t="inlineStr">
        <is>
          <t>Full Ride (Full tuition fees, living allowance ~NZ$23,100/yr, establishment grant, medical insurance, travel)</t>
        </is>
      </c>
      <c r="M73" s="3" t="inlineStr">
        <is>
          <t>February (Annual window)</t>
        </is>
      </c>
      <c r="N73" s="3" t="inlineStr">
        <is>
          <t>Citizens of eligible developing partner countries in the Pacific and South/Southeast Asia; high school graduates with leadership potential.</t>
        </is>
      </c>
      <c r="O73" s="3" t="inlineStr">
        <is>
          <t>High: Online Manaaki Portal Application + Country-Specific Eligibility Check + References</t>
        </is>
      </c>
      <c r="P73" s="3" t="inlineStr">
        <is>
          <t>Eligible Pacific &amp; Asian High School Graduates</t>
        </is>
      </c>
      <c r="Q73" s="3" t="inlineStr">
        <is>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is>
      </c>
      <c r="R73" s="3" t="inlineStr">
        <is>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is>
      </c>
      <c r="S73" s="3" t="inlineStr">
        <is>
          <t>Academic capability (30%), Professional and leadership skills (40%), Commitment to home country development (30%).</t>
        </is>
      </c>
      <c r="T73" s="3" t="inlineStr">
        <is>
          <t>Mid-career agricultural experts, environmental scientists, and public policy leaders from eligible Pacific, Asian, African, and Latin American nations who articulate a clear plan to return home and enact positive reform.</t>
        </is>
      </c>
      <c r="U73" s="3" t="n"/>
      <c r="V73" s="3" t="inlineStr">
        <is>
          <t>https://www.nzscholarships.govt.nz/</t>
        </is>
      </c>
      <c r="W73" s="3" t="n"/>
      <c r="X73" s="3" t="n"/>
      <c r="Y73" s="3" t="n"/>
      <c r="Z73" s="3" t="n"/>
      <c r="AA73" s="4" t="n"/>
      <c r="AB73" s="4" t="n"/>
      <c r="AC73" s="3">
        <f>IF(AND(E73&lt;&gt;"",COUNTIF($E$2:$E$800,E73)&gt;1),"DUPLICATE","")</f>
        <v/>
      </c>
    </row>
    <row r="74" ht="72" customHeight="1">
      <c r="A74" s="3" t="inlineStr">
        <is>
          <t>university-of-auckland-international-student-scholarships-ba</t>
        </is>
      </c>
      <c r="B74" s="3" t="inlineStr">
        <is>
          <t>Open</t>
        </is>
      </c>
      <c r="C74" s="3" t="n"/>
      <c r="D74" s="3" t="inlineStr">
        <is>
          <t>Scholarship</t>
        </is>
      </c>
      <c r="E74" s="3" t="inlineStr">
        <is>
          <t>University of Auckland International Student Scholarships</t>
        </is>
      </c>
      <c r="F74" s="3" t="inlineStr">
        <is>
          <t>University of Auckland</t>
        </is>
      </c>
      <c r="G74" s="3" t="inlineStr">
        <is>
          <t>Oceania</t>
        </is>
      </c>
      <c r="H74" s="3" t="inlineStr">
        <is>
          <t>New Zealand</t>
        </is>
      </c>
      <c r="I74" s="3" t="inlineStr">
        <is>
          <t>Bachelor</t>
        </is>
      </c>
      <c r="J74" s="3" t="inlineStr">
        <is>
          <t>All fields</t>
        </is>
      </c>
      <c r="K74" s="3" t="inlineStr">
        <is>
          <t>Partial</t>
        </is>
      </c>
      <c r="L74" s="3" t="inlineStr">
        <is>
          <t>Up to NZ$10,000 (Tuition fee reduction applied towards undergraduate coursework study)</t>
        </is>
      </c>
      <c r="M74" s="3" t="inlineStr">
        <is>
          <t>November / July (Staggered by semester intake)</t>
        </is>
      </c>
      <c r="N74" s="3" t="inlineStr">
        <is>
          <t>International students paying full international fees; high academic merit based on high school results.</t>
        </is>
      </c>
      <c r="O74" s="3" t="inlineStr">
        <is>
          <t>Medium: University Admission Offer + Separate Scholarship Application Form</t>
        </is>
      </c>
      <c r="P74" s="3" t="inlineStr">
        <is>
          <t>High-Achieving Undergraduates Targeting Auckland</t>
        </is>
      </c>
      <c r="Q74" s="3" t="n"/>
      <c r="R74" s="3" t="n"/>
      <c r="S74" s="3" t="n"/>
      <c r="T74" s="3" t="n"/>
      <c r="U74" s="3" t="n"/>
      <c r="V74" s="3" t="n"/>
      <c r="W74" s="3" t="n"/>
      <c r="X74" s="3" t="n"/>
      <c r="Y74" s="3" t="n"/>
      <c r="Z74" s="3" t="n"/>
      <c r="AA74" s="4" t="n"/>
      <c r="AB74" s="4" t="n"/>
      <c r="AC74" s="3">
        <f>IF(AND(E74&lt;&gt;"",COUNTIF($E$2:$E$800,E74)&gt;1),"DUPLICATE","")</f>
        <v/>
      </c>
    </row>
    <row r="75" ht="72" customHeight="1">
      <c r="A75" s="3" t="inlineStr">
        <is>
          <t>university-of-otago-international-bachelor-scholarships-bach</t>
        </is>
      </c>
      <c r="B75" s="3" t="inlineStr">
        <is>
          <t>Open</t>
        </is>
      </c>
      <c r="C75" s="3" t="n"/>
      <c r="D75" s="3" t="inlineStr">
        <is>
          <t>Scholarship</t>
        </is>
      </c>
      <c r="E75" s="3" t="inlineStr">
        <is>
          <t>University of Otago International Bachelor Scholarships</t>
        </is>
      </c>
      <c r="F75" s="3" t="inlineStr">
        <is>
          <t>University of Otago</t>
        </is>
      </c>
      <c r="G75" s="3" t="inlineStr">
        <is>
          <t>Oceania</t>
        </is>
      </c>
      <c r="H75" s="3" t="inlineStr">
        <is>
          <t>New Zealand</t>
        </is>
      </c>
      <c r="I75" s="3" t="inlineStr">
        <is>
          <t>Bachelor</t>
        </is>
      </c>
      <c r="J75" s="3" t="inlineStr">
        <is>
          <t>Education</t>
        </is>
      </c>
      <c r="K75" s="3" t="inlineStr">
        <is>
          <t>Partial</t>
        </is>
      </c>
      <c r="L75" s="3" t="inlineStr">
        <is>
          <t>NZ$10,000 tuition waiver (For the first year of undergraduate study)</t>
        </is>
      </c>
      <c r="M75" s="3" t="inlineStr">
        <is>
          <t>December / June</t>
        </is>
      </c>
      <c r="N75" s="3" t="inlineStr">
        <is>
          <t>International students commencing undergraduate studies; academic excellence in secondary education.</t>
        </is>
      </c>
      <c r="O75" s="3" t="inlineStr">
        <is>
          <t>Medium: Otago Admission Application + Online Scholarship Portal</t>
        </is>
      </c>
      <c r="P75" s="3" t="inlineStr">
        <is>
          <t>Undergraduates Seeking Study in Dunedin</t>
        </is>
      </c>
      <c r="Q75" s="3" t="n"/>
      <c r="R75" s="3" t="n"/>
      <c r="S75" s="3" t="n"/>
      <c r="T75" s="3" t="n"/>
      <c r="U75" s="3" t="n"/>
      <c r="V75" s="3" t="n"/>
      <c r="W75" s="3" t="n"/>
      <c r="X75" s="3" t="n"/>
      <c r="Y75" s="3" t="n"/>
      <c r="Z75" s="3" t="n"/>
      <c r="AA75" s="4" t="n"/>
      <c r="AB75" s="4" t="n"/>
      <c r="AC75" s="3">
        <f>IF(AND(E75&lt;&gt;"",COUNTIF($E$2:$E$800,E75)&gt;1),"DUPLICATE","")</f>
        <v/>
      </c>
    </row>
    <row r="76" ht="129.6" customHeight="1">
      <c r="A76" s="3" t="inlineStr">
        <is>
          <t>manaaki-new-zealand-scholarships-postgraduate-track-master</t>
        </is>
      </c>
      <c r="B76" s="3" t="inlineStr">
        <is>
          <t>Open</t>
        </is>
      </c>
      <c r="C76" s="3" t="n"/>
      <c r="D76" s="3" t="inlineStr">
        <is>
          <t>Scholarship</t>
        </is>
      </c>
      <c r="E76" s="3" t="inlineStr">
        <is>
          <t>Manaaki New Zealand Scholarships (Postgraduate Track)</t>
        </is>
      </c>
      <c r="F76" s="3" t="inlineStr">
        <is>
          <t>New Zealand MFAT</t>
        </is>
      </c>
      <c r="G76" s="3" t="inlineStr">
        <is>
          <t>Oceania</t>
        </is>
      </c>
      <c r="H76" s="3" t="inlineStr">
        <is>
          <t>New Zealand</t>
        </is>
      </c>
      <c r="I76" s="3" t="inlineStr">
        <is>
          <t>Master</t>
        </is>
      </c>
      <c r="J76" s="3" t="inlineStr">
        <is>
          <t>All fields</t>
        </is>
      </c>
      <c r="K76" s="3" t="inlineStr">
        <is>
          <t>Full</t>
        </is>
      </c>
      <c r="L76" s="3" t="inlineStr">
        <is>
          <t>Full Ride (Full tuition, living stipend ~NZ$31,200/yr, research allowances, medical insurance, return flights)</t>
        </is>
      </c>
      <c r="M76" s="3" t="inlineStr">
        <is>
          <t>February (Annual cycle)</t>
        </is>
      </c>
      <c r="N76" s="3" t="inlineStr">
        <is>
          <t>Citizens of eligible developing nations across the Pacific, Asia, Africa, and Latin America; 1–2 years of work experience preferred.</t>
        </is>
      </c>
      <c r="O76" s="3" t="inlineStr">
        <is>
          <t>High: Online Manaaki Portal Application + Professional CV + Employer Support + 2 Referees</t>
        </is>
      </c>
      <c r="P76" s="3" t="inlineStr">
        <is>
          <t>Mid-Career Professionals from Eligible Partner Countries</t>
        </is>
      </c>
      <c r="Q76" s="3" t="inlineStr">
        <is>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is>
      </c>
      <c r="R76" s="3" t="inlineStr">
        <is>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is>
      </c>
      <c r="S76" s="3" t="inlineStr">
        <is>
          <t>Academic capability (30%), Professional and leadership skills (40%), Commitment to home country development (30%).</t>
        </is>
      </c>
      <c r="T76" s="3" t="inlineStr">
        <is>
          <t>Mid-career agricultural experts, environmental scientists, and public policy leaders from eligible Pacific, Asian, African, and Latin American nations who articulate a clear plan to return home and enact positive reform.</t>
        </is>
      </c>
      <c r="U76" s="3" t="n"/>
      <c r="V76" s="3" t="inlineStr">
        <is>
          <t>https://www.nzscholarships.govt.nz/</t>
        </is>
      </c>
      <c r="W76" s="3" t="n"/>
      <c r="X76" s="3" t="n"/>
      <c r="Y76" s="3" t="n"/>
      <c r="Z76" s="3" t="inlineStr">
        <is>
          <t>Work experience</t>
        </is>
      </c>
      <c r="AA76" s="4" t="n"/>
      <c r="AB76" s="4" t="n"/>
      <c r="AC76" s="3">
        <f>IF(AND(E76&lt;&gt;"",COUNTIF($E$2:$E$800,E76)&gt;1),"DUPLICATE","")</f>
        <v/>
      </c>
    </row>
    <row r="77" ht="72" customHeight="1">
      <c r="A77" s="3" t="inlineStr">
        <is>
          <t>university-of-canterbury-international-master-s-scholarship-</t>
        </is>
      </c>
      <c r="B77" s="3" t="inlineStr">
        <is>
          <t>Open</t>
        </is>
      </c>
      <c r="C77" s="3" t="n"/>
      <c r="D77" s="3" t="inlineStr">
        <is>
          <t>Scholarship</t>
        </is>
      </c>
      <c r="E77" s="3" t="inlineStr">
        <is>
          <t>University of Canterbury International Master's Scholarship</t>
        </is>
      </c>
      <c r="F77" s="3" t="inlineStr">
        <is>
          <t>University of Canterbury</t>
        </is>
      </c>
      <c r="G77" s="3" t="inlineStr">
        <is>
          <t>Oceania</t>
        </is>
      </c>
      <c r="H77" s="3" t="inlineStr">
        <is>
          <t>New Zealand</t>
        </is>
      </c>
      <c r="I77" s="3" t="inlineStr">
        <is>
          <t>Master</t>
        </is>
      </c>
      <c r="J77" s="3" t="inlineStr">
        <is>
          <t>All fields</t>
        </is>
      </c>
      <c r="K77" s="3" t="inlineStr">
        <is>
          <t>Full</t>
        </is>
      </c>
      <c r="L77" s="3" t="inlineStr">
        <is>
          <t>Full Tuition Fees + NZ$15,000 Stipend (For research-based Master's programmes)</t>
        </is>
      </c>
      <c r="M77" s="3" t="inlineStr">
        <is>
          <t>October / March</t>
        </is>
      </c>
      <c r="N77" s="3" t="inlineStr">
        <is>
          <t>Top-tier international students enrolling in a research-only or thesis-based Master's degree at Canterbury.</t>
        </is>
      </c>
      <c r="O77" s="3" t="inlineStr">
        <is>
          <t>Medium-High: Master's Admission Application + Scholarship Nomination Form</t>
        </is>
      </c>
      <c r="P77" s="3" t="inlineStr">
        <is>
          <t>Thesis-Based Master's Applicants in Christchurch</t>
        </is>
      </c>
      <c r="Q77" s="3" t="n"/>
      <c r="R77" s="3" t="n"/>
      <c r="S77" s="3" t="n"/>
      <c r="T77" s="3" t="n"/>
      <c r="U77" s="3" t="n"/>
      <c r="V77" s="3" t="n"/>
      <c r="W77" s="3" t="n"/>
      <c r="X77" s="3" t="n"/>
      <c r="Y77" s="3" t="n"/>
      <c r="Z77" s="3" t="inlineStr">
        <is>
          <t>Research</t>
        </is>
      </c>
      <c r="AA77" s="4" t="n"/>
      <c r="AB77" s="4" t="n"/>
      <c r="AC77" s="3">
        <f>IF(AND(E77&lt;&gt;"",COUNTIF($E$2:$E$800,E77)&gt;1),"DUPLICATE","")</f>
        <v/>
      </c>
    </row>
    <row r="78" ht="57.6" customHeight="1">
      <c r="A78" s="3" t="inlineStr">
        <is>
          <t>victoria-university-of-wellington-master-s-scholarship-maste</t>
        </is>
      </c>
      <c r="B78" s="3" t="inlineStr">
        <is>
          <t>Open</t>
        </is>
      </c>
      <c r="C78" s="3" t="n"/>
      <c r="D78" s="3" t="inlineStr">
        <is>
          <t>Scholarship</t>
        </is>
      </c>
      <c r="E78" s="3" t="inlineStr">
        <is>
          <t>Victoria University of Wellington Master's Scholarship</t>
        </is>
      </c>
      <c r="F78" s="3" t="inlineStr">
        <is>
          <t>Victoria University of Wellington</t>
        </is>
      </c>
      <c r="G78" s="3" t="inlineStr">
        <is>
          <t>Oceania</t>
        </is>
      </c>
      <c r="H78" s="3" t="inlineStr">
        <is>
          <t>New Zealand</t>
        </is>
      </c>
      <c r="I78" s="3" t="inlineStr">
        <is>
          <t>Master</t>
        </is>
      </c>
      <c r="J78" s="3" t="inlineStr">
        <is>
          <t>All fields</t>
        </is>
      </c>
      <c r="K78" s="3" t="inlineStr">
        <is>
          <t>Partial</t>
        </is>
      </c>
      <c r="L78" s="3" t="inlineStr">
        <is>
          <t>NZ$15,000 tuition fee waiver + 12 weeks accommodation subsidy (Or equivalent living stipend support)</t>
        </is>
      </c>
      <c r="M78" s="3" t="inlineStr">
        <is>
          <t>November</t>
        </is>
      </c>
      <c r="N78" s="3" t="inlineStr">
        <is>
          <t>International students undertaking a 1-year research Master's degree or thesis component of a Master's program.</t>
        </is>
      </c>
      <c r="O78" s="3" t="inlineStr">
        <is>
          <t>Medium: Admission Application + Online Scholarship Portal</t>
        </is>
      </c>
      <c r="P78" s="3" t="inlineStr">
        <is>
          <t>Research Master's Candidates in Wellington</t>
        </is>
      </c>
      <c r="Q78" s="3" t="n"/>
      <c r="R78" s="3" t="n"/>
      <c r="S78" s="3" t="n"/>
      <c r="T78" s="3" t="n"/>
      <c r="U78" s="3" t="n"/>
      <c r="V78" s="3" t="n"/>
      <c r="W78" s="3" t="n"/>
      <c r="X78" s="3" t="n"/>
      <c r="Y78" s="3" t="n"/>
      <c r="Z78" s="3" t="inlineStr">
        <is>
          <t>Research</t>
        </is>
      </c>
      <c r="AA78" s="4" t="n"/>
      <c r="AB78" s="4" t="n"/>
      <c r="AC78" s="3">
        <f>IF(AND(E78&lt;&gt;"",COUNTIF($E$2:$E$800,E78)&gt;1),"DUPLICATE","")</f>
        <v/>
      </c>
    </row>
    <row r="79" ht="129.6" customHeight="1">
      <c r="A79" s="3" t="inlineStr">
        <is>
          <t>new-zealand-international-doctoral-research-scholarships-nzi</t>
        </is>
      </c>
      <c r="B79" s="3" t="inlineStr">
        <is>
          <t>Open</t>
        </is>
      </c>
      <c r="C79" s="3" t="n"/>
      <c r="D79" s="3" t="inlineStr">
        <is>
          <t>Scholarship</t>
        </is>
      </c>
      <c r="E79" s="3" t="inlineStr">
        <is>
          <t>New Zealand International Doctoral Research Scholarships (NZIDRS) / University Doctoral Scholarships</t>
        </is>
      </c>
      <c r="F79" s="3" t="inlineStr">
        <is>
          <t>New Zealand Government &amp; Universities — Auckland, Otago, Canterbury, etc.</t>
        </is>
      </c>
      <c r="G79" s="3" t="inlineStr">
        <is>
          <t>Oceania</t>
        </is>
      </c>
      <c r="H79" s="3" t="inlineStr">
        <is>
          <t>New Zealand</t>
        </is>
      </c>
      <c r="I79" s="3" t="inlineStr">
        <is>
          <t>PhD</t>
        </is>
      </c>
      <c r="J79" s="3" t="inlineStr">
        <is>
          <t>All fields</t>
        </is>
      </c>
      <c r="K79" s="3" t="inlineStr">
        <is>
          <t>Full</t>
        </is>
      </c>
      <c r="L79" s="3" t="inlineStr">
        <is>
          <t>Full Domestic Tuition Fee Parity + ~NZ$35,000 to NZ$38,000 annual living stipend (For 3 years of PhD study)</t>
        </is>
      </c>
      <c r="M79" s="3" t="inlineStr">
        <is>
          <t>Staggered (University-specific rounds, e.g., Oct, Nov, May)</t>
        </is>
      </c>
      <c r="N79" s="3" t="inlineStr">
        <is>
          <t>International doctoral candidates with outstanding academic records (equivalent to First Class Honours / high GPA).</t>
        </is>
      </c>
      <c r="O79" s="3" t="inlineStr">
        <is>
          <t>Very High: Doctoral Admission Application + Research Proposal + Supervisor Support</t>
        </is>
      </c>
      <c r="P79" s="3" t="inlineStr">
        <is>
          <t>Global Doctoral Researchers Seeking Full New Zealand State Funding</t>
        </is>
      </c>
      <c r="Q79" s="3" t="inlineStr">
        <is>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is>
      </c>
      <c r="R79" s="3" t="inlineStr">
        <is>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is>
      </c>
      <c r="S79" s="3" t="inlineStr">
        <is>
          <t>Academic merit and research track record (50%), Quality and feasibility of the research proposal (30%), Supervisor alignment and university laboratory capacity (20%).</t>
        </is>
      </c>
      <c r="T79" s="3" t="n"/>
      <c r="U79" s="3" t="n"/>
      <c r="V79" s="3" t="inlineStr">
        <is>
          <t>https://www.studyinnewzealand.govt.nz/</t>
        </is>
      </c>
      <c r="W79" s="3" t="n"/>
      <c r="X79" s="3" t="n"/>
      <c r="Y79" s="3" t="n"/>
      <c r="Z79" s="3" t="inlineStr">
        <is>
          <t>Research</t>
        </is>
      </c>
      <c r="AA79" s="4" t="n"/>
      <c r="AB79" s="4" t="n"/>
      <c r="AC79" s="3">
        <f>IF(AND(E79&lt;&gt;"",COUNTIF($E$2:$E$800,E79)&gt;1),"DUPLICATE","")</f>
        <v/>
      </c>
    </row>
    <row r="80" ht="57.6" customHeight="1">
      <c r="A80" s="3" t="inlineStr">
        <is>
          <t>otago-international-doctoral-scholarship-phd</t>
        </is>
      </c>
      <c r="B80" s="3" t="inlineStr">
        <is>
          <t>Open</t>
        </is>
      </c>
      <c r="C80" s="3" t="n"/>
      <c r="D80" s="3" t="inlineStr">
        <is>
          <t>Scholarship</t>
        </is>
      </c>
      <c r="E80" s="3" t="inlineStr">
        <is>
          <t>Otago International Doctoral Scholarship</t>
        </is>
      </c>
      <c r="F80" s="3" t="inlineStr">
        <is>
          <t>University of Otago</t>
        </is>
      </c>
      <c r="G80" s="3" t="inlineStr">
        <is>
          <t>Oceania</t>
        </is>
      </c>
      <c r="H80" s="3" t="inlineStr">
        <is>
          <t>New Zealand</t>
        </is>
      </c>
      <c r="I80" s="3" t="inlineStr">
        <is>
          <t>PhD</t>
        </is>
      </c>
      <c r="J80" s="3" t="inlineStr">
        <is>
          <t>All fields</t>
        </is>
      </c>
      <c r="K80" s="3" t="inlineStr">
        <is>
          <t>Full</t>
        </is>
      </c>
      <c r="L80" s="3" t="inlineStr">
        <is>
          <t>Full Tuition Fee Waiver + Annual Stipend (~NZ$32,500/yr plus health insurance for 36 months)</t>
        </is>
      </c>
      <c r="M80" s="3" t="inlineStr">
        <is>
          <t>Rolling / Multiple Rounds</t>
        </is>
      </c>
      <c r="N80" s="3" t="inlineStr">
        <is>
          <t>Outstanding international PhD candidates admitted to the University of Otago.</t>
        </is>
      </c>
      <c r="O80" s="3" t="inlineStr">
        <is>
          <t>High: PhD Admission Application + Research Proposal + Faculty Endorsement</t>
        </is>
      </c>
      <c r="P80" s="3" t="inlineStr">
        <is>
          <t>Elite PhD Candidates Targeting Otago</t>
        </is>
      </c>
      <c r="Q80" s="3" t="n"/>
      <c r="R80" s="3" t="n"/>
      <c r="S80" s="3" t="n"/>
      <c r="T80" s="3" t="n"/>
      <c r="U80" s="3" t="n"/>
      <c r="V80" s="3" t="n"/>
      <c r="W80" s="3" t="n"/>
      <c r="X80" s="3" t="n"/>
      <c r="Y80" s="3" t="n"/>
      <c r="Z80" s="3" t="n"/>
      <c r="AA80" s="4" t="n"/>
      <c r="AB80" s="4" t="n"/>
      <c r="AC80" s="3">
        <f>IF(AND(E80&lt;&gt;"",COUNTIF($E$2:$E$800,E80)&gt;1),"DUPLICATE","")</f>
        <v/>
      </c>
    </row>
    <row r="81" ht="43.2" customHeight="1">
      <c r="A81" s="3" t="inlineStr">
        <is>
          <t>university-of-auckland-doctoral-scholarships-phd</t>
        </is>
      </c>
      <c r="B81" s="3" t="inlineStr">
        <is>
          <t>Open</t>
        </is>
      </c>
      <c r="C81" s="3" t="n"/>
      <c r="D81" s="3" t="inlineStr">
        <is>
          <t>Scholarship</t>
        </is>
      </c>
      <c r="E81" s="3" t="inlineStr">
        <is>
          <t>University of Auckland Doctoral Scholarships</t>
        </is>
      </c>
      <c r="F81" s="3" t="inlineStr">
        <is>
          <t>University of Auckland</t>
        </is>
      </c>
      <c r="G81" s="3" t="inlineStr">
        <is>
          <t>Oceania</t>
        </is>
      </c>
      <c r="H81" s="3" t="inlineStr">
        <is>
          <t>New Zealand</t>
        </is>
      </c>
      <c r="I81" s="3" t="inlineStr">
        <is>
          <t>PhD</t>
        </is>
      </c>
      <c r="J81" s="3" t="inlineStr">
        <is>
          <t>All fields</t>
        </is>
      </c>
      <c r="K81" s="3" t="inlineStr">
        <is>
          <t>Full</t>
        </is>
      </c>
      <c r="L81" s="3" t="inlineStr">
        <is>
          <t>Full Compulsory Tuition Fees + Annual Living Allowance (Comprehensive tax-free stipend + health insurance)</t>
        </is>
      </c>
      <c r="M81" s="3" t="inlineStr">
        <is>
          <t>Staggered rounds</t>
        </is>
      </c>
      <c r="N81" s="3" t="inlineStr">
        <is>
          <t>High-caliber international students undertaking a PhD at the University of Auckland.</t>
        </is>
      </c>
      <c r="O81" s="3" t="inlineStr">
        <is>
          <t>High: Doctoral Admission &amp; Scholarship Portal Application</t>
        </is>
      </c>
      <c r="P81" s="3" t="inlineStr">
        <is>
          <t>Top-Tier PhD Candidates Targeting Auckland</t>
        </is>
      </c>
      <c r="Q81" s="3" t="n"/>
      <c r="R81" s="3" t="n"/>
      <c r="S81" s="3" t="n"/>
      <c r="T81" s="3" t="n"/>
      <c r="U81" s="3" t="n"/>
      <c r="V81" s="3" t="n"/>
      <c r="W81" s="3" t="n"/>
      <c r="X81" s="3" t="n"/>
      <c r="Y81" s="3" t="n"/>
      <c r="Z81" s="3" t="n"/>
      <c r="AA81" s="4" t="n"/>
      <c r="AB81" s="4" t="n"/>
      <c r="AC81" s="3">
        <f>IF(AND(E81&lt;&gt;"",COUNTIF($E$2:$E$800,E81)&gt;1),"DUPLICATE","")</f>
        <v/>
      </c>
    </row>
    <row r="82">
      <c r="A82" t="inlineStr">
        <is>
          <t>iccr-atal-bihari-vajpayee-general-scholarship-bachelor</t>
        </is>
      </c>
      <c r="B82" t="inlineStr">
        <is>
          <t>Open</t>
        </is>
      </c>
      <c r="D82" t="inlineStr">
        <is>
          <t>Scholarship</t>
        </is>
      </c>
      <c r="E82" t="inlineStr">
        <is>
          <t>ICCR Atal Bihari Vajpayee General Scholarship Scheme</t>
        </is>
      </c>
      <c r="F82" t="inlineStr">
        <is>
          <t>Indian Council for Cultural Relations (ICCR) — Govt. of India</t>
        </is>
      </c>
      <c r="G82" t="inlineStr">
        <is>
          <t>Asia</t>
        </is>
      </c>
      <c r="H82" t="inlineStr">
        <is>
          <t>India</t>
        </is>
      </c>
      <c r="I82" t="inlineStr">
        <is>
          <t>Bachelor</t>
        </is>
      </c>
      <c r="J82" t="inlineStr">
        <is>
          <t>All fields</t>
        </is>
      </c>
      <c r="K82" t="inlineStr">
        <is>
          <t>Full</t>
        </is>
      </c>
      <c r="L82" t="inlineStr">
        <is>
          <t>Full Ride (100% Tuition, Hostel Accommodation, ₹18,000/mo Stipend, Annual Contingent Grant, Return Airfare)</t>
        </is>
      </c>
      <c r="M82" t="inlineStr">
        <is>
          <t>Feb 27 – Apr 22 (Annual cycle via A2A Portal)</t>
        </is>
      </c>
      <c r="N82" t="inlineStr">
        <is>
          <t>International students worldwide; age 18–35; high school diploma (10+2) with strong grades (PCM mandatory for B.E./B.Tech); 500-word English essay required.</t>
        </is>
      </c>
      <c r="O82" t="inlineStr">
        <is>
          <t>Medium: Online Application to 5 Empanelled Indian Universities + 500-Word English Essay + Transcripts + Medical Form</t>
        </is>
      </c>
      <c r="P82" t="inlineStr">
        <is>
          <t>International Undergraduates Seeking Fully Funded Degrees at Indian Public Universities</t>
        </is>
      </c>
      <c r="Q82" t="inlineStr">
        <is>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is>
      </c>
      <c r="R82" t="inlineStr">
        <is>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is>
      </c>
      <c r="S82" t="inlineStr">
        <is>
          <t>University Scrutiny of Academic Eligibility across up to 5 Selected Universities → Indian Embassy/High Commission Allocation of Scholarship Slots Based on Merit and Country Quotas.</t>
        </is>
      </c>
      <c r="T82" t="inlineStr">
        <is>
          <t>Disciplined high school graduates who select a balanced list of 5 central/state Indian universities and submit clean, English-translated transcripts early in March.</t>
        </is>
      </c>
      <c r="V82" t="inlineStr">
        <is>
          <t>https://a2ascholarships.iccr.gov.in</t>
        </is>
      </c>
      <c r="Z82" t="inlineStr">
        <is>
          <t>STEM</t>
        </is>
      </c>
      <c r="AA82" s="5" t="n">
        <v>46312</v>
      </c>
      <c r="AB82" s="5" t="n">
        <v>46312</v>
      </c>
      <c r="AC82">
        <f>IF(AND(E82&lt;&gt;"",COUNTIF($E$2:$E$800,E82)&gt;1),"DUPLICATE","")</f>
        <v/>
      </c>
    </row>
    <row r="83">
      <c r="A83" t="inlineStr">
        <is>
          <t>iccr-suborno-jayanti-scholarship-bangladesh-master</t>
        </is>
      </c>
      <c r="B83" t="inlineStr">
        <is>
          <t>Open</t>
        </is>
      </c>
      <c r="D83" t="inlineStr">
        <is>
          <t>Scholarship</t>
        </is>
      </c>
      <c r="E83" t="inlineStr">
        <is>
          <t>ICCR Suborno Jayanti Scholarship Scheme (Bangladesh Track)</t>
        </is>
      </c>
      <c r="F83" t="inlineStr">
        <is>
          <t>Indian Council for Cultural Relations (ICCR) &amp; High Commission of India, Dhaka</t>
        </is>
      </c>
      <c r="G83" t="inlineStr">
        <is>
          <t>Asia</t>
        </is>
      </c>
      <c r="H83" t="inlineStr">
        <is>
          <t>India</t>
        </is>
      </c>
      <c r="I83" t="inlineStr">
        <is>
          <t>Bachelor, Master, PhD</t>
        </is>
      </c>
      <c r="J83" t="inlineStr">
        <is>
          <t>All fields</t>
        </is>
      </c>
      <c r="K83" t="inlineStr">
        <is>
          <t>Full</t>
        </is>
      </c>
      <c r="L83" t="inlineStr">
        <is>
          <t>Full Ride (500 Dedicated Slots: 100% Tuition, Hostel, ₹18,000–₹22,000/mo Stipend, Contingent Grant, Travel)</t>
        </is>
      </c>
      <c r="M83" t="inlineStr">
        <is>
          <t>Feb 27 – Apr 22 (Annual cycle via A2A Portal)</t>
        </is>
      </c>
      <c r="N83" t="inlineStr">
        <is>
          <t>Citizens of Bangladesh; age 18–35 for Bachelor/Master and under 40 for PhD; minimum 60% marks or GPA 3.0+; all non-medical disciplines at Indian public universities.</t>
        </is>
      </c>
      <c r="O83" t="inlineStr">
        <is>
          <t>Medium: A2A Portal Application + 500-Word Essay + SSC/HSC/Bachelor Transcripts + Research Synopsis (for PhD)</t>
        </is>
      </c>
      <c r="P83" t="inlineStr">
        <is>
          <t>Bangladeshi Students Pursuing Bachelor’s, Master’s, or PhDs at Premier Indian Institutes</t>
        </is>
      </c>
      <c r="Q83" t="inlineStr">
        <is>
          <t>Dedicated exclusively to citizens of Bangladesh, the Suborno Jayanti Scholarship Scheme provides 500 fully funded ICCR scholarships each year to study at premier public universities and institutes across India in Engineering, IT, Science, Economics, Humanities, and Performing Arts.</t>
        </is>
      </c>
      <c r="R83" t="inlineStr">
        <is>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is>
      </c>
      <c r="S83" t="inlineStr">
        <is>
          <t>Host University Provisional Admission Confirmation on the A2A Portal → High Commission of India (Dhaka, Chattogram, Rajshahi, Khulna, Sylhet) Final Merit Selection.</t>
        </is>
      </c>
      <c r="T83" t="inlineStr">
        <is>
          <t>Meritorious Bangladeshi students with strong HSC or Bachelor’s GPAs who apply early in February/March and select both top-tier metro and specialized central universities.</t>
        </is>
      </c>
      <c r="V83" t="inlineStr">
        <is>
          <t>https://sjsdhaka.gov.in</t>
        </is>
      </c>
      <c r="Z83" t="inlineStr">
        <is>
          <t>STEM, Research</t>
        </is>
      </c>
      <c r="AA83" s="5" t="n">
        <v>46312</v>
      </c>
      <c r="AB83" s="5" t="n">
        <v>46312</v>
      </c>
      <c r="AC83">
        <f>IF(AND(E83&lt;&gt;"",COUNTIF($E$2:$E$800,E83)&gt;1),"DUPLICATE","")</f>
        <v/>
      </c>
    </row>
    <row r="84">
      <c r="A84" t="inlineStr">
        <is>
          <t>study-in-india-sii-partner-institute-scholarship-bachelor</t>
        </is>
      </c>
      <c r="B84" t="inlineStr">
        <is>
          <t>Open</t>
        </is>
      </c>
      <c r="D84" t="inlineStr">
        <is>
          <t>Scholarship</t>
        </is>
      </c>
      <c r="E84" t="inlineStr">
        <is>
          <t>Study in India (SII) Partner Institute Scholarship</t>
        </is>
      </c>
      <c r="F84" t="inlineStr">
        <is>
          <t>Ministry of Education, Government of India</t>
        </is>
      </c>
      <c r="G84" t="inlineStr">
        <is>
          <t>Asia</t>
        </is>
      </c>
      <c r="H84" t="inlineStr">
        <is>
          <t>India</t>
        </is>
      </c>
      <c r="I84" t="inlineStr">
        <is>
          <t>Bachelor, Master</t>
        </is>
      </c>
      <c r="J84" t="inlineStr">
        <is>
          <t>All fields</t>
        </is>
      </c>
      <c r="K84" t="inlineStr">
        <is>
          <t>Full</t>
        </is>
      </c>
      <c r="L84" t="inlineStr">
        <is>
          <t>Up to 100% Tuition Fee Waiver (G1: 100%, G2: 50%, G3: 25% tuition waiver across 160+ premier Indian institutes)</t>
        </is>
      </c>
      <c r="M84" t="inlineStr">
        <is>
          <t>Apr – Jun (Annual admission &amp; counselling cycle)</t>
        </is>
      </c>
      <c r="N84" t="inlineStr">
        <is>
          <t>International students (including SAARC, ASEAN, Africa, Middle East); strong high school (10+2) or Bachelor’s GPA; admitted via the Study in India portal.</t>
        </is>
      </c>
      <c r="O84" t="inlineStr">
        <is>
          <t>Low–Medium: Single SII Portal Application + Academic Transcripts + Passport Copy</t>
        </is>
      </c>
      <c r="P84" t="inlineStr">
        <is>
          <t>International Students Seeking Direct Tuition Waivers at Top NIRF-Ranked Indian Colleges</t>
        </is>
      </c>
      <c r="Q84" t="inlineStr">
        <is>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is>
      </c>
      <c r="R84" t="inlineStr">
        <is>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is>
      </c>
      <c r="S84" t="inlineStr">
        <is>
          <t>Academic Merit Evaluation &amp; Institute Cutoffs → Centralized SII Counselling &amp; Seat/Tuition Waiver Allocation (G1/G2/G3 tiers).</t>
        </is>
      </c>
      <c r="T84" t="inlineStr">
        <is>
          <t>International applicants from Bangladesh, Nepal, Sri Lanka, and Africa with 75%+ high school or undergraduate marks who complete choice-filling across multiple partner institutes.</t>
        </is>
      </c>
      <c r="V84" t="inlineStr">
        <is>
          <t>https://www.studyinindia.gov.in</t>
        </is>
      </c>
      <c r="Z84" t="inlineStr">
        <is>
          <t>STEM</t>
        </is>
      </c>
      <c r="AA84" s="5" t="n">
        <v>46312</v>
      </c>
      <c r="AB84" s="5" t="n">
        <v>46312</v>
      </c>
      <c r="AC84">
        <f>IF(AND(E84&lt;&gt;"",COUNTIF($E$2:$E$800,E84)&gt;1),"DUPLICATE","")</f>
        <v/>
      </c>
    </row>
    <row r="85">
      <c r="A85" t="inlineStr">
        <is>
          <t>nalanda-university-bimstec-international-scholarship-master</t>
        </is>
      </c>
      <c r="B85" t="inlineStr">
        <is>
          <t>Open</t>
        </is>
      </c>
      <c r="D85" t="inlineStr">
        <is>
          <t>Scholarship</t>
        </is>
      </c>
      <c r="E85" t="inlineStr">
        <is>
          <t>Nalanda University BIMSTEC &amp; International Master’s Scholarships</t>
        </is>
      </c>
      <c r="F85" t="inlineStr">
        <is>
          <t>Nalanda University &amp; Ministry of External Affairs, India</t>
        </is>
      </c>
      <c r="G85" t="inlineStr">
        <is>
          <t>Asia</t>
        </is>
      </c>
      <c r="H85" t="inlineStr">
        <is>
          <t>India</t>
        </is>
      </c>
      <c r="I85" t="inlineStr">
        <is>
          <t>Master</t>
        </is>
      </c>
      <c r="J85" t="inlineStr">
        <is>
          <t>Social Sciences &amp; Humanities, Environment, Water &amp; Energy, Business, Economics &amp; Management</t>
        </is>
      </c>
      <c r="K85" t="inlineStr">
        <is>
          <t>Full</t>
        </is>
      </c>
      <c r="L85" t="inlineStr">
        <is>
          <t>Full Ride (100% Tuition, Admission Fee, On-Campus Residence, Meals, ₹20,000/mo Stipend, Return Airfare)</t>
        </is>
      </c>
      <c r="M85" t="inlineStr">
        <is>
          <t>Mar 18 – May 31 (Annual intake deadline)</t>
        </is>
      </c>
      <c r="N85" t="inlineStr">
        <is>
          <t>Citizens of BIMSTEC nations (Bangladesh, Bhutan, Myanmar, Nepal, Sri Lanka, Thailand) and developing countries; Bachelor’s degree with minimum 55% or 2.8+ GPA.</t>
        </is>
      </c>
      <c r="O85" t="inlineStr">
        <is>
          <t>Medium: Online University Application + Statement of Purpose + Academic Transcripts + Online Interview</t>
        </is>
      </c>
      <c r="P85" t="inlineStr">
        <is>
          <t>South &amp; Southeast Asian Graduates in Ecology, International Relations, Sustainable MBA &amp; Humanities</t>
        </is>
      </c>
      <c r="Q85" t="inlineStr">
        <is>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is>
      </c>
      <c r="R85" t="inlineStr">
        <is>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is>
      </c>
      <c r="S85" t="inlineStr">
        <is>
          <t>Application &amp; SOP Screening by School Faculty → Online Admission &amp; Scholarship Panel Interview → Ministry/University Scholarship Allocation.</t>
        </is>
      </c>
      <c r="T85" t="inlineStr">
        <is>
          <t>Graduates from Bangladesh, Bhutan, Nepal, and Southeast Asia passionate about environmental sustainability, Asian diplomacy, or heritage studies.</t>
        </is>
      </c>
      <c r="V85" t="inlineStr">
        <is>
          <t>https://nalandauniv.edu.in/scholarship-info/</t>
        </is>
      </c>
      <c r="AA85" s="5" t="n">
        <v>46312</v>
      </c>
      <c r="AB85" s="5" t="n">
        <v>46312</v>
      </c>
      <c r="AC85">
        <f>IF(AND(E85&lt;&gt;"",COUNTIF($E$2:$E$800,E85)&gt;1),"DUPLICATE","")</f>
        <v/>
      </c>
    </row>
    <row r="86">
      <c r="A86" t="inlineStr">
        <is>
          <t>prime-minister-s-research-fellowship-pmrf-india-phd</t>
        </is>
      </c>
      <c r="B86" t="inlineStr">
        <is>
          <t>Open</t>
        </is>
      </c>
      <c r="D86" t="inlineStr">
        <is>
          <t>Scholarship</t>
        </is>
      </c>
      <c r="E86" t="inlineStr">
        <is>
          <t>Prime Minister’s Research Fellowship (PMRF)</t>
        </is>
      </c>
      <c r="F86" t="inlineStr">
        <is>
          <t>Ministry of Education, Government of India (IITs, IISc, IISERs, NITs)</t>
        </is>
      </c>
      <c r="G86" t="inlineStr">
        <is>
          <t>Asia</t>
        </is>
      </c>
      <c r="H86" t="inlineStr">
        <is>
          <t>India</t>
        </is>
      </c>
      <c r="I86" t="inlineStr">
        <is>
          <t>PhD</t>
        </is>
      </c>
      <c r="J86" t="inlineStr">
        <is>
          <t>Engineering &amp; Technology, Computer Science, Data &amp; AI, Mathematics &amp; Natural Sciences</t>
        </is>
      </c>
      <c r="K86" t="inlineStr">
        <is>
          <t>Full</t>
        </is>
      </c>
      <c r="L86" t="inlineStr">
        <is>
          <t>Full Ride + Elite Stipend (₹70,000–₹80,000/mo Fellowship + ₹2,00,000/yr Research Contingency Grant for 4–5 years)</t>
        </is>
      </c>
      <c r="M86" t="inlineStr">
        <is>
          <t>May / Dec (Aligned with Direct &amp; Lateral Entry PhD cycles)</t>
        </is>
      </c>
      <c r="N86" t="inlineStr">
        <is>
          <t>Final-year B.Tech/Integrated M.Sc. or M.Tech graduates in India with CGPA ≥ 8.0 (or GATE ≥ 650) pursuing a PhD in STEM at IITs, IISc, IISERs, or central universities.</t>
        </is>
      </c>
      <c r="O86" t="inlineStr">
        <is>
          <t>Very High: PhD Admission at PMRF Granting Institute + Rigorous Research Proposal + Technical Panel Interview</t>
        </is>
      </c>
      <c r="P86" t="inlineStr">
        <is>
          <t>Top-Tier Indian STEM Graduates Pursuing Doctoral Research at IITs &amp; IISc</t>
        </is>
      </c>
      <c r="Q86" t="inlineStr">
        <is>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is>
      </c>
      <c r="R86" t="inlineStr">
        <is>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is>
      </c>
      <c r="S86" t="inlineStr">
        <is>
          <t>Host Institute Nodal Screening &amp; Nomination → National Subject-Panel Evaluation of Research Proposal, Prior Technical Output, and Live Technical Interview.</t>
        </is>
      </c>
      <c r="T86" t="inlineStr">
        <is>
          <t>IIT, NIT, and IISER graduates with 8.5+ CGPA, prior IEEE/ACM/science publications, and a well-defined deep-tech or fundamental science research problem.</t>
        </is>
      </c>
      <c r="V86" t="inlineStr">
        <is>
          <t>https://www.pmrf.in</t>
        </is>
      </c>
      <c r="Z86" t="inlineStr">
        <is>
          <t>STEM, Research</t>
        </is>
      </c>
      <c r="AA86" s="5" t="n">
        <v>46312</v>
      </c>
      <c r="AB86" s="5" t="n">
        <v>46312</v>
      </c>
      <c r="AC86">
        <f>IF(AND(E86&lt;&gt;"",COUNTIF($E$2:$E$800,E86)&gt;1),"DUPLICATE","")</f>
        <v/>
      </c>
    </row>
    <row r="87">
      <c r="A87" t="inlineStr">
        <is>
          <t>reliance-foundation-undergraduate-postgraduate-scholarship</t>
        </is>
      </c>
      <c r="B87" t="inlineStr">
        <is>
          <t>Open</t>
        </is>
      </c>
      <c r="D87" t="inlineStr">
        <is>
          <t>Scholarship</t>
        </is>
      </c>
      <c r="E87" t="inlineStr">
        <is>
          <t>Reliance Foundation Undergraduate &amp; Postgraduate Scholarships</t>
        </is>
      </c>
      <c r="F87" t="inlineStr">
        <is>
          <t>Reliance Foundation — India</t>
        </is>
      </c>
      <c r="G87" t="inlineStr">
        <is>
          <t>Asia</t>
        </is>
      </c>
      <c r="H87" t="inlineStr">
        <is>
          <t>India</t>
        </is>
      </c>
      <c r="I87" t="inlineStr">
        <is>
          <t>Bachelor, Master</t>
        </is>
      </c>
      <c r="J87" t="inlineStr">
        <is>
          <t>Engineering &amp; Technology, Computer Science, Data &amp; AI, Mathematics &amp; Natural Sciences, All fields</t>
        </is>
      </c>
      <c r="K87" t="inlineStr">
        <is>
          <t>Partial</t>
        </is>
      </c>
      <c r="L87" t="inlineStr">
        <is>
          <t>Up to ₹2,00,000 (Undergrad) or ₹6,00,000 (Postgrad in AI, CS, Renewables &amp; Life Sciences) + Alumni Network</t>
        </is>
      </c>
      <c r="M87" t="inlineStr">
        <is>
          <t>Oct 6 – Dec 15 (Annual cycle)</t>
        </is>
      </c>
      <c r="N87" t="inlineStr">
        <is>
          <t>Resident Indian citizens enrolled in Year 1 of any undergraduate degree (household income &lt; ₹15 Lakh) or postgraduate STEM/AI degree with top entrance ranks.</t>
        </is>
      </c>
      <c r="O87" t="inlineStr">
        <is>
          <t>Medium: Online Aptitude Test + Personal &amp; Leadership Essays + 2 Reference Letters + Income Proof</t>
        </is>
      </c>
      <c r="P87" t="inlineStr">
        <is>
          <t>First-Year Indian Undergraduate &amp; Postgraduate Students in AI, Engineering &amp; General Degrees</t>
        </is>
      </c>
      <c r="Q87" t="inlineStr">
        <is>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is>
      </c>
      <c r="R87" t="inlineStr">
        <is>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is>
      </c>
      <c r="S87" t="inlineStr">
        <is>
          <t>Aptitude Test Score &amp; Academic Merit (60%), Financial Need Assessment for UG / Research &amp; Leadership Essays for PG (40%).</t>
        </is>
      </c>
      <c r="T87" t="inlineStr">
        <is>
          <t>High-scoring first-year Indian college students from modest socio-economic backgrounds and top GATE/CGPA graduates entering M.Tech/M.Sc. in AI or Clean Energy.</t>
        </is>
      </c>
      <c r="V87" t="inlineStr">
        <is>
          <t>https://www.scholarships.reliancefoundation.org</t>
        </is>
      </c>
      <c r="Z87" t="inlineStr">
        <is>
          <t>STEM, Need-based</t>
        </is>
      </c>
      <c r="AA87" s="5" t="n">
        <v>46312</v>
      </c>
      <c r="AB87" s="5" t="n">
        <v>46312</v>
      </c>
      <c r="AC87">
        <f>IF(AND(E87&lt;&gt;"",COUNTIF($E$2:$E$800,E87)&gt;1),"DUPLICATE","")</f>
        <v/>
      </c>
    </row>
    <row r="88">
      <c r="A88" t="inlineStr">
        <is>
          <t>inlaks-shivdasani-foundation-overseas-scholarship-master</t>
        </is>
      </c>
      <c r="B88" t="inlineStr">
        <is>
          <t>Open</t>
        </is>
      </c>
      <c r="D88" t="inlineStr">
        <is>
          <t>Scholarship</t>
        </is>
      </c>
      <c r="E88" t="inlineStr">
        <is>
          <t>Inlaks Shivdasani Foundation Overseas Scholarship</t>
        </is>
      </c>
      <c r="F88" t="inlineStr">
        <is>
          <t>Inlaks Shivdasani Foundation — India</t>
        </is>
      </c>
      <c r="G88" t="inlineStr">
        <is>
          <t>Asia</t>
        </is>
      </c>
      <c r="H88" t="inlineStr">
        <is>
          <t>United Kingdom, United States</t>
        </is>
      </c>
      <c r="I88" t="inlineStr">
        <is>
          <t>Master</t>
        </is>
      </c>
      <c r="J88" t="inlineStr">
        <is>
          <t>All fields</t>
        </is>
      </c>
      <c r="K88" t="inlineStr">
        <is>
          <t>Full</t>
        </is>
      </c>
      <c r="L88" t="inlineStr">
        <is>
          <t>Up to USD 120,000 (Covers Full Tuition, Living Stipend, One-Way Airfare, Visa Fees &amp; Health Allowance)</t>
        </is>
      </c>
      <c r="M88" t="inlineStr">
        <is>
          <t>Mar 31 (Closes 12:00 PM IST annually)</t>
        </is>
      </c>
      <c r="N88" t="inlineStr">
        <is>
          <t>Indian citizens resident in India; age under 30; holding an unconditional/conditional Master’s admission offer from a top-tier university in the UK, Europe, or USA.</t>
        </is>
      </c>
      <c r="O88" t="inlineStr">
        <is>
          <t>High: Confirmed Overseas Admission Offer + Portfolio/SOP + 2 Reference Letters + 2-Stage Mumbai Interviews</t>
        </is>
      </c>
      <c r="P88" t="inlineStr">
        <is>
          <t>Exceptional Young Indian Graduates Admitted to Top US, UK &amp; European Universities</t>
        </is>
      </c>
      <c r="Q88" t="inlineStr">
        <is>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is>
      </c>
      <c r="R88" t="inlineStr">
        <is>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is>
      </c>
      <c r="S88" t="inlineStr">
        <is>
          <t>Application &amp; Admission Offer Review in April → Online Preliminary Interview in May → Final In-Person Panel Interview in Mumbai.</t>
        </is>
      </c>
      <c r="T88" t="inlineStr">
        <is>
          <t>Well-rounded Indian graduates with admission to Oxford, Cambridge, LSE, Columbia, or top European conservatories/universities who demonstrate originality and social commitment.</t>
        </is>
      </c>
      <c r="V88" t="inlineStr">
        <is>
          <t>https://www.inlaksfoundation.org/scholarships/</t>
        </is>
      </c>
      <c r="AA88" s="5" t="n">
        <v>46312</v>
      </c>
      <c r="AB88" s="5" t="n">
        <v>46312</v>
      </c>
      <c r="AC88">
        <f>IF(AND(E88&lt;&gt;"",COUNTIF($E$2:$E$800,E88)&gt;1),"DUPLICATE","")</f>
        <v/>
      </c>
    </row>
    <row r="89">
      <c r="A89" t="inlineStr">
        <is>
          <t>jn-tata-endowment-higher-education-loan-scholarship-master</t>
        </is>
      </c>
      <c r="B89" t="inlineStr">
        <is>
          <t>Open</t>
        </is>
      </c>
      <c r="D89" t="inlineStr">
        <is>
          <t>Scholarship</t>
        </is>
      </c>
      <c r="E89" t="inlineStr">
        <is>
          <t>J.N. Tata Endowment for the Higher Education of Indians</t>
        </is>
      </c>
      <c r="F89" t="inlineStr">
        <is>
          <t>Tata Trusts — India</t>
        </is>
      </c>
      <c r="G89" t="inlineStr">
        <is>
          <t>Asia</t>
        </is>
      </c>
      <c r="H89" t="inlineStr">
        <is>
          <t>United States, United Kingdom, Germany</t>
        </is>
      </c>
      <c r="I89" t="inlineStr">
        <is>
          <t>Master, PhD</t>
        </is>
      </c>
      <c r="J89" t="inlineStr">
        <is>
          <t>All fields</t>
        </is>
      </c>
      <c r="K89" t="inlineStr">
        <is>
          <t>Partial</t>
        </is>
      </c>
      <c r="L89" t="inlineStr">
        <is>
          <t>₹1,00,000 to ₹10,00,000 Low-Interest Loan Scholarship + Up to ₹7,50,000 Gift Award &amp; ₹50,000 Travel Grant</t>
        </is>
      </c>
      <c r="M89" t="inlineStr">
        <is>
          <t>Mar 15 – Mar 23 (Annual spring application window)</t>
        </is>
      </c>
      <c r="N89" t="inlineStr">
        <is>
          <t>Indian citizens holding a Bachelor’s degree with minimum 60% marks; admitted to or applying for a recognized postgraduate/PhD program overseas.</t>
        </is>
      </c>
      <c r="O89" t="inlineStr">
        <is>
          <t>High: Statement of Purpose + Online Cognitive/Thinking Assessment + Technical Subject Interview</t>
        </is>
      </c>
      <c r="P89" t="inlineStr">
        <is>
          <t>Indian Graduates Pursuing Master’s or PhDs Abroad Needing Flexible Funding</t>
        </is>
      </c>
      <c r="Q89" t="inlineStr">
        <is>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is>
      </c>
      <c r="R89" t="inlineStr">
        <is>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is>
      </c>
      <c r="S89" t="inlineStr">
        <is>
          <t>Phase 1 Academic &amp; SOP Screening → Phase 2 Online Cognitive Test → Phase 3 Technical Subject-Matter Expert Interview (April–June).</t>
        </is>
      </c>
      <c r="T89" t="inlineStr">
        <is>
          <t>Ambitious Indian engineers, scientists, lawyers, and policy scholars admitted to top-50 global universities who perform strongly in the technical subject interview.</t>
        </is>
      </c>
      <c r="V89" t="inlineStr">
        <is>
          <t>https://www.jntataendowment.org</t>
        </is>
      </c>
      <c r="AA89" s="5" t="n">
        <v>46312</v>
      </c>
      <c r="AB89" s="5" t="n">
        <v>46312</v>
      </c>
      <c r="AC89">
        <f>IF(AND(E89&lt;&gt;"",COUNTIF($E$2:$E$800,E89)&gt;1),"DUPLICATE","")</f>
        <v/>
      </c>
    </row>
    <row r="90">
      <c r="A90" t="inlineStr">
        <is>
          <t>asian-university-for-women-auw-scholarship-bachelor</t>
        </is>
      </c>
      <c r="B90" t="inlineStr">
        <is>
          <t>Open</t>
        </is>
      </c>
      <c r="D90" t="inlineStr">
        <is>
          <t>Scholarship</t>
        </is>
      </c>
      <c r="E90" t="inlineStr">
        <is>
          <t>Asian University for Women (AUW) Undergraduate Scholarships</t>
        </is>
      </c>
      <c r="F90" t="inlineStr">
        <is>
          <t>Asian University for Women — Chittagong, Bangladesh</t>
        </is>
      </c>
      <c r="G90" t="inlineStr">
        <is>
          <t>Asia</t>
        </is>
      </c>
      <c r="H90" t="inlineStr">
        <is>
          <t>Bangladesh</t>
        </is>
      </c>
      <c r="I90" t="inlineStr">
        <is>
          <t>Bachelor</t>
        </is>
      </c>
      <c r="J90" t="inlineStr">
        <is>
          <t>All fields</t>
        </is>
      </c>
      <c r="K90" t="inlineStr">
        <is>
          <t>Full</t>
        </is>
      </c>
      <c r="L90" t="inlineStr">
        <is>
          <t>Full Ride (100% Tuition, On-Campus Room &amp; Board, Healthcare, Course Supplies, Return Graduation Airfare)</t>
        </is>
      </c>
      <c r="M90" t="inlineStr">
        <is>
          <t>Mar – May (Rolling deadlines for Fall/Summer intakes)</t>
        </is>
      </c>
      <c r="N90" t="inlineStr">
        <is>
          <t>Female applicants from Bangladesh and across South/Southeast Asia &amp; the Middle East; strong secondary school record; demonstrated financial need; non-transfer students.</t>
        </is>
      </c>
      <c r="O90" t="inlineStr">
        <is>
          <t>Medium: Admission Application + Self-Assessment Financial Aid Form + Family Income Proofs + Written/Interview Assessment</t>
        </is>
      </c>
      <c r="P90" t="inlineStr">
        <is>
          <t>Talented Young Women from Bangladesh &amp; Asia Seeking Liberal Arts or STEM Degrees</t>
        </is>
      </c>
      <c r="Q90" t="inlineStr">
        <is>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is>
      </c>
      <c r="R90" t="inlineStr">
        <is>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is>
      </c>
      <c r="S90" t="inlineStr">
        <is>
          <t>Academic Readiness Review (Direct Undergraduate vs. Pathways for Promise Access Academy) + Written English/Math Assessment + Financial Aid Committee Need Verification.</t>
        </is>
      </c>
      <c r="T90" t="inlineStr">
        <is>
          <t>First-generation and low-to-middle-income female high school graduates from Bangladesh, Pakistan, India, Afghanistan, Myanmar, and Nepal with strong leadership drive.</t>
        </is>
      </c>
      <c r="V90" t="inlineStr">
        <is>
          <t>https://asian-university.org/admissions/financial-aid/</t>
        </is>
      </c>
      <c r="Z90" t="inlineStr">
        <is>
          <t>Women, Need-based</t>
        </is>
      </c>
      <c r="AA90" s="5" t="n">
        <v>46312</v>
      </c>
      <c r="AB90" s="5" t="n">
        <v>46312</v>
      </c>
      <c r="AC90">
        <f>IF(AND(E90&lt;&gt;"",COUNTIF($E$2:$E$800,E90)&gt;1),"DUPLICATE","")</f>
        <v/>
      </c>
    </row>
    <row r="91">
      <c r="A91" t="inlineStr">
        <is>
          <t>iut-oic-full-partial-scholarships-bangladesh-bachelor</t>
        </is>
      </c>
      <c r="B91" t="inlineStr">
        <is>
          <t>Open</t>
        </is>
      </c>
      <c r="D91" t="inlineStr">
        <is>
          <t>Scholarship</t>
        </is>
      </c>
      <c r="E91" t="inlineStr">
        <is>
          <t>IUT OIC Full &amp; Partial Scholarships (Bachelor’s Track)</t>
        </is>
      </c>
      <c r="F91" t="inlineStr">
        <is>
          <t>Islamic University of Technology (IUT) &amp; Organisation of Islamic Cooperation</t>
        </is>
      </c>
      <c r="G91" t="inlineStr">
        <is>
          <t>Asia</t>
        </is>
      </c>
      <c r="H91" t="inlineStr">
        <is>
          <t>Bangladesh</t>
        </is>
      </c>
      <c r="I91" t="inlineStr">
        <is>
          <t>Bachelor</t>
        </is>
      </c>
      <c r="J91" t="inlineStr">
        <is>
          <t>Engineering &amp; Technology, Computer Science, Data &amp; AI</t>
        </is>
      </c>
      <c r="K91" t="inlineStr">
        <is>
          <t>Full</t>
        </is>
      </c>
      <c r="L91" t="inlineStr">
        <is>
          <t>Full Ride (100% Tuition, Campus Dormitory, Monthly Pocket Allowance, Medical Care, Books &amp; Return Airfare)</t>
        </is>
      </c>
      <c r="M91" t="inlineStr">
        <is>
          <t>Feb – Apr (Annual admission &amp; OIC Focal Point nomination window)</t>
        </is>
      </c>
      <c r="N91" t="inlineStr">
        <is>
          <t>Citizens of Bangladesh and 57 OIC member states; High School (HSC / A-Level) in Physics, Chemistry &amp; Mathematics with strong grades; passes IUT admission/nomination.</t>
        </is>
      </c>
      <c r="O91" t="inlineStr">
        <is>
          <t>High: Competitive Engineering Entrance Test (Host Country) or OIC Ministry Nomination (International)</t>
        </is>
      </c>
      <c r="P91" t="inlineStr">
        <is>
          <t>Top Engineering &amp; CS High School Graduates from Bangladesh and OIC Countries</t>
        </is>
      </c>
      <c r="Q91" t="inlineStr">
        <is>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is>
      </c>
      <c r="R91" t="inlineStr">
        <is>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is>
      </c>
      <c r="S91" t="inlineStr">
        <is>
          <t>Combined Engineering Admission Test Merit Rank (for Bangladeshi host-country slots) or OIC Member State Demographic Quota &amp; Academic Screening (for international slots).</t>
        </is>
      </c>
      <c r="T91" t="inlineStr">
        <is>
          <t>High-scoring HSC/A-Level science students in Bangladesh and OIC member states with exceptional math and physics scores.</t>
        </is>
      </c>
      <c r="V91" t="inlineStr">
        <is>
          <t>https://admission.iutoic-dhaka.edu/information/scholarship</t>
        </is>
      </c>
      <c r="Z91" t="inlineStr">
        <is>
          <t>STEM</t>
        </is>
      </c>
      <c r="AA91" s="5" t="n">
        <v>46312</v>
      </c>
      <c r="AB91" s="5" t="n">
        <v>46312</v>
      </c>
      <c r="AC91">
        <f>IF(AND(E91&lt;&gt;"",COUNTIF($E$2:$E$800,E91)&gt;1),"DUPLICATE","")</f>
        <v/>
      </c>
    </row>
    <row r="92">
      <c r="A92" t="inlineStr">
        <is>
          <t>bangladesh-government-mbbs-bds-scholarship-bachelor</t>
        </is>
      </c>
      <c r="B92" t="inlineStr">
        <is>
          <t>Open</t>
        </is>
      </c>
      <c r="D92" t="inlineStr">
        <is>
          <t>Scholarship</t>
        </is>
      </c>
      <c r="E92" t="inlineStr">
        <is>
          <t>Bangladesh Government MBBS &amp; BDS Scholarships for Foreign Students</t>
        </is>
      </c>
      <c r="F92" t="inlineStr">
        <is>
          <t>Ministry of Education &amp; Ministry of Foreign Affairs, Bangladesh</t>
        </is>
      </c>
      <c r="G92" t="inlineStr">
        <is>
          <t>Asia</t>
        </is>
      </c>
      <c r="H92" t="inlineStr">
        <is>
          <t>Bangladesh</t>
        </is>
      </c>
      <c r="I92" t="inlineStr">
        <is>
          <t>Bachelor</t>
        </is>
      </c>
      <c r="J92" t="inlineStr">
        <is>
          <t>Health &amp; Life Sciences</t>
        </is>
      </c>
      <c r="K92" t="inlineStr">
        <is>
          <t>Full</t>
        </is>
      </c>
      <c r="L92" t="inlineStr">
        <is>
          <t>Full Public Medical Tuition Waiver + Free Hostel Seat + Monthly Living Stipend at Government Medical Colleges</t>
        </is>
      </c>
      <c r="M92" t="inlineStr">
        <is>
          <t>Jan – Feb 22 (Annual online portal &amp; embassy submission)</t>
        </is>
      </c>
      <c r="N92" t="inlineStr">
        <is>
          <t>International students from SAARC and developing partner countries (outside Bangladesh); High School/A-Level with Biology, Chemistry &amp; Physics (minimum GPA 3.5–4.0).</t>
        </is>
      </c>
      <c r="O92" t="inlineStr">
        <is>
          <t>Medium: Online DGME Application + Apostilled/Attested SSC &amp; HSC Equivalency Transcripts + Embassy Submission</t>
        </is>
      </c>
      <c r="P92" t="inlineStr">
        <is>
          <t>International Pre-Med Students (SAARC &amp; Developing Nations) Seeking Public MBBS/BDS Degrees</t>
        </is>
      </c>
      <c r="Q92" t="inlineStr">
        <is>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is>
      </c>
      <c r="R92" t="inlineStr">
        <is>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is>
      </c>
      <c r="S92" t="inlineStr">
        <is>
          <t>Equivalency Calculation of Grade 10 &amp; Grade 12 Biology/Science GPA by DGME Dhaka → Country-Quota Merit Allocation by the Central Scholarship Committee.</t>
        </is>
      </c>
      <c r="T92" t="inlineStr">
        <is>
          <t>High-GPA pre-medical students from Nepal, Bhutan, India, Palestine, and African nations who complete document attestation at their local Bangladesh Mission before February.</t>
        </is>
      </c>
      <c r="V92" t="inlineStr">
        <is>
          <t>https://www.dgme.gov.bd</t>
        </is>
      </c>
      <c r="AA92" s="5" t="n">
        <v>46312</v>
      </c>
      <c r="AB92" s="5" t="n">
        <v>46312</v>
      </c>
      <c r="AC92">
        <f>IF(AND(E92&lt;&gt;"",COUNTIF($E$2:$E$800,E92)&gt;1),"DUPLICATE","")</f>
        <v/>
      </c>
    </row>
    <row r="93">
      <c r="A93" t="inlineStr">
        <is>
          <t>iut-oic-postgraduate-scholarships-bangladesh-master-phd</t>
        </is>
      </c>
      <c r="B93" t="inlineStr">
        <is>
          <t>Open</t>
        </is>
      </c>
      <c r="D93" t="inlineStr">
        <is>
          <t>Scholarship</t>
        </is>
      </c>
      <c r="E93" t="inlineStr">
        <is>
          <t>IUT OIC Postgraduate Scholarships (M.Sc. &amp; PhD Track)</t>
        </is>
      </c>
      <c r="F93" t="inlineStr">
        <is>
          <t>Islamic University of Technology (IUT) — Gazipur, Bangladesh</t>
        </is>
      </c>
      <c r="G93" t="inlineStr">
        <is>
          <t>Asia</t>
        </is>
      </c>
      <c r="H93" t="inlineStr">
        <is>
          <t>Bangladesh</t>
        </is>
      </c>
      <c r="I93" t="inlineStr">
        <is>
          <t>Master, PhD</t>
        </is>
      </c>
      <c r="J93" t="inlineStr">
        <is>
          <t>Engineering &amp; Technology, Computer Science, Data &amp; AI, Education</t>
        </is>
      </c>
      <c r="K93" t="inlineStr">
        <is>
          <t>Full</t>
        </is>
      </c>
      <c r="L93" t="inlineStr">
        <is>
          <t>Full Tuition Waiver + Residential &amp; Research Support (Full OIC Scholarship for M.Sc./PhD in Technical Education &amp; Engineering)</t>
        </is>
      </c>
      <c r="M93" t="inlineStr">
        <is>
          <t>Feb – Apr (Annual 2026/2027 postgraduate call)</t>
        </is>
      </c>
      <c r="N93" t="inlineStr">
        <is>
          <t>Citizens of Bangladesh and OIC member states holding a B.Sc. (for Master’s) or M.Sc. (for PhD) in Engineering, Computer Science, or Technical Education.</t>
        </is>
      </c>
      <c r="O93" t="inlineStr">
        <is>
          <t>Medium–High: Online Application + Statement of Motivation + CV + 2 Reference Letters + English Proficiency</t>
        </is>
      </c>
      <c r="P93" t="inlineStr">
        <is>
          <t>Engineering &amp; Technical Education Graduates from Bangladesh and OIC Nations</t>
        </is>
      </c>
      <c r="Q93" t="inlineStr">
        <is>
          <t>The Islamic University of Technology (IUT) in Gazipur offers full OIC scholarships and 100% departmental tuition waivers for Master’s and Doctoral candidates in Civil, Mechanical, Electrical, Computer Science, Chemical Engineering, and Technical &amp; Vocational Education (TVE).</t>
        </is>
      </c>
      <c r="R93" t="inlineStr">
        <is>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is>
      </c>
      <c r="S93" t="inlineStr">
        <is>
          <t>Departmental Academic Committee Review of GPA, Research Alignment, and OIC Member State Representation.</t>
        </is>
      </c>
      <c r="T93" t="inlineStr">
        <is>
          <t>B.Sc. and M.Sc. engineering graduates and junior university faculty from Bangladesh and OIC countries seeking English-medium postgraduate research.</t>
        </is>
      </c>
      <c r="V93" t="inlineStr">
        <is>
          <t>https://admission.iutoic-dhaka.edu/international-students/general-information</t>
        </is>
      </c>
      <c r="Z93" t="inlineStr">
        <is>
          <t>STEM, Research</t>
        </is>
      </c>
      <c r="AA93" s="5" t="n">
        <v>46312</v>
      </c>
      <c r="AB93" s="5" t="n">
        <v>46312</v>
      </c>
      <c r="AC93">
        <f>IF(AND(E93&lt;&gt;"",COUNTIF($E$2:$E$800,E93)&gt;1),"DUPLICATE","")</f>
        <v/>
      </c>
    </row>
    <row r="94">
      <c r="A94" t="inlineStr">
        <is>
          <t>prime-minister-s-fellowship-bangladesh-master-phd</t>
        </is>
      </c>
      <c r="B94" t="inlineStr">
        <is>
          <t>Open</t>
        </is>
      </c>
      <c r="D94" t="inlineStr">
        <is>
          <t>Scholarship</t>
        </is>
      </c>
      <c r="E94" t="inlineStr">
        <is>
          <t>Prime Minister’s Fellowship Bangladesh (Master’s &amp; PhD Track)</t>
        </is>
      </c>
      <c r="F94" t="inlineStr">
        <is>
          <t>Governance Innovation Unit (GIU), Prime Minister’s Office — Bangladesh</t>
        </is>
      </c>
      <c r="G94" t="inlineStr">
        <is>
          <t>Asia</t>
        </is>
      </c>
      <c r="H94" t="inlineStr">
        <is>
          <t>United Kingdom, United States, Australia</t>
        </is>
      </c>
      <c r="I94" t="inlineStr">
        <is>
          <t>Master, PhD</t>
        </is>
      </c>
      <c r="J94" t="inlineStr">
        <is>
          <t>All fields</t>
        </is>
      </c>
      <c r="K94" t="inlineStr">
        <is>
          <t>Full</t>
        </is>
      </c>
      <c r="L94" t="inlineStr">
        <is>
          <t>Full Ride Overseas (100% Tuition at Global Top-100/300 Universities, Living Stipend, Airfare, Health Insurance)</t>
        </is>
      </c>
      <c r="M94" t="inlineStr">
        <is>
          <t>Mar – May (Annual call by GIU Bangladesh)</t>
        </is>
      </c>
      <c r="N94" t="inlineStr">
        <is>
          <t>Bangladeshi citizens (BCS Cadre, Non-Cadre Govt. Officials, and Open/Private Sector Track); unconditional admission offer from a global top-ranked university; IELTS ≥ 6.5.</t>
        </is>
      </c>
      <c r="O94" t="inlineStr">
        <is>
          <t>Very High: Unconditional Offer from Top-100/300 Global Univ + National Development Essay + IELTS 6.5+ + Viva</t>
        </is>
      </c>
      <c r="P94" t="inlineStr">
        <is>
          <t>Bangladeshi Professionals, Academics &amp; Civil Servants Admitted to Top Global Universities</t>
        </is>
      </c>
      <c r="Q94" t="inlineStr">
        <is>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is>
      </c>
      <c r="R94" t="inlineStr">
        <is>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is>
      </c>
      <c r="S94" t="inlineStr">
        <is>
          <t>University Global Ranking Score + Academic Track Record + Alignment with National Development Goals + High-Level Oral Viva in Dhaka.</t>
        </is>
      </c>
      <c r="T94" t="inlineStr">
        <is>
          <t>Bangladeshi development practitioners, university lecturers, engineers, and civil servants holding unconditional offers from top UK, US, Australian, or European universities.</t>
        </is>
      </c>
      <c r="V94" t="inlineStr">
        <is>
          <t>https://pmfellowship.pmo.gov.bd</t>
        </is>
      </c>
      <c r="Z94" t="inlineStr">
        <is>
          <t>Work experience, Research</t>
        </is>
      </c>
      <c r="AA94" s="5" t="n">
        <v>46312</v>
      </c>
      <c r="AB94" s="5" t="n">
        <v>46312</v>
      </c>
      <c r="AC94">
        <f>IF(AND(E94&lt;&gt;"",COUNTIF($E$2:$E$800,E94)&gt;1),"DUPLICATE","")</f>
        <v/>
      </c>
    </row>
    <row r="95">
      <c r="A95" t="inlineStr">
        <is>
          <t>bangabandhu-science-technology-nst-fellowship-bangladesh-phd</t>
        </is>
      </c>
      <c r="B95" t="inlineStr">
        <is>
          <t>Open</t>
        </is>
      </c>
      <c r="D95" t="inlineStr">
        <is>
          <t>Scholarship</t>
        </is>
      </c>
      <c r="E95" t="inlineStr">
        <is>
          <t>Bangabandhu Science &amp; Technology Fellowship (BSTFT) / NST Fellowship</t>
        </is>
      </c>
      <c r="F95" t="inlineStr">
        <is>
          <t>Ministry of Science and Technology, Government of Bangladesh</t>
        </is>
      </c>
      <c r="G95" t="inlineStr">
        <is>
          <t>Asia</t>
        </is>
      </c>
      <c r="H95" t="inlineStr">
        <is>
          <t>Bangladesh</t>
        </is>
      </c>
      <c r="I95" t="inlineStr">
        <is>
          <t>Master, PhD</t>
        </is>
      </c>
      <c r="J95" t="inlineStr">
        <is>
          <t>Engineering &amp; Technology, Mathematics &amp; Natural Sciences, Health &amp; Life Sciences, Agriculture &amp; Food Security</t>
        </is>
      </c>
      <c r="K95" t="inlineStr">
        <is>
          <t>Full</t>
        </is>
      </c>
      <c r="L95" t="inlineStr">
        <is>
          <t>Full Domestic &amp; Overseas Research Grants (Monthly M.S./M.Phil/PhD Stipend + Full Tuition &amp; Thesis Grant)</t>
        </is>
      </c>
      <c r="M95" t="inlineStr">
        <is>
          <t>Apr – Jun (NST Domestic) / Sep – Nov (Doctoral Grants)</t>
        </is>
      </c>
      <c r="N95" t="inlineStr">
        <is>
          <t>Bangladeshi citizens enrolled in M.S., M.Phil, or PhD programs in Science, Engineering, Agriculture, or Biological/Medical Sciences at public universities in Bangladesh or abroad.</t>
        </is>
      </c>
      <c r="O95" t="inlineStr">
        <is>
          <t>Medium–High: Supervisor-Endorsed Thesis/Research Proposal + University Enrollment Proof + Academic Transcripts</t>
        </is>
      </c>
      <c r="P95" t="inlineStr">
        <is>
          <t>Bangladeshi M.S., M.Phil &amp; PhD STEM Researchers at Public Universities</t>
        </is>
      </c>
      <c r="Q95" t="inlineStr">
        <is>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is>
      </c>
      <c r="R95" t="inlineStr">
        <is>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is>
      </c>
      <c r="S95" t="inlineStr">
        <is>
          <t>Ministry Expert Committee Evaluation of Academic CGPA, Thesis Supervisor Endorsement, and Scientific Merit of the Research Synopsis.</t>
        </is>
      </c>
      <c r="T95" t="inlineStr">
        <is>
          <t>Bangladeshi M.S. thesis and PhD researchers in agriculture, biotechnology, engineering, physics, and environmental sciences at public universities across Bangladesh.</t>
        </is>
      </c>
      <c r="V95" t="inlineStr">
        <is>
          <t>https://most.gov.bd</t>
        </is>
      </c>
      <c r="Z95" t="inlineStr">
        <is>
          <t>STEM, Research</t>
        </is>
      </c>
      <c r="AA95" s="5" t="n">
        <v>46312</v>
      </c>
      <c r="AB95" s="5" t="n">
        <v>46312</v>
      </c>
      <c r="AC95">
        <f>IF(AND(E95&lt;&gt;"",COUNTIF($E$2:$E$800,E95)&gt;1),"DUPLICATE","")</f>
        <v/>
      </c>
    </row>
    <row r="96">
      <c r="A96" t="inlineStr">
        <is>
          <t>msca-doctoral-networks-marie-sklodowska-curie-actions-phd</t>
        </is>
      </c>
      <c r="B96" t="inlineStr">
        <is>
          <t>Open</t>
        </is>
      </c>
      <c r="D96" t="inlineStr">
        <is>
          <t>Scholarship</t>
        </is>
      </c>
      <c r="E96" t="inlineStr">
        <is>
          <t>Marie Skłodowska-Curie Actions (MSCA) Doctoral Networks</t>
        </is>
      </c>
      <c r="F96" t="inlineStr">
        <is>
          <t>European Commission (Horizon Europe) — EU &amp; Associated Countries</t>
        </is>
      </c>
      <c r="G96" t="inlineStr">
        <is>
          <t>Europe</t>
        </is>
      </c>
      <c r="H96" t="inlineStr">
        <is>
          <t>Germany, Netherlands, France, Spain, Italy, Belgium, Sweden, Denmark</t>
        </is>
      </c>
      <c r="I96" t="inlineStr">
        <is>
          <t>PhD</t>
        </is>
      </c>
      <c r="J96" t="inlineStr">
        <is>
          <t>All fields</t>
        </is>
      </c>
      <c r="K96" t="inlineStr">
        <is>
          <t>Full</t>
        </is>
      </c>
      <c r="L96" t="inlineStr">
        <is>
          <t>Full Employment Contract (€3,400/mo Living Allowance + €600/mo Mobility Allowance + €660/mo Family Allowance + Full Research/Tuition Costs)</t>
        </is>
      </c>
      <c r="M96" t="inlineStr">
        <is>
          <t>Year-round rolling vacancies on EURAXESS (Peak recruitment: Oct – May)</t>
        </is>
      </c>
      <c r="N96" t="inlineStr">
        <is>
          <t>Open to all nationalities worldwide; holds a Master’s degree; must not have resided/worked in the recruiting host country for more than 12 months in the last 36 months (MSCA Mobility Rule); not yet awarded a PhD.</t>
        </is>
      </c>
      <c r="O96" t="inlineStr">
        <is>
          <t>High: Tailored Cover Letter + Academic CV + Master’s Thesis Abstract + 2–3 Referees + Technical Panel Interview</t>
        </is>
      </c>
      <c r="P96" t="inlineStr">
        <is>
          <t>Research-Focused Master’s Graduates Seeking Salaried European PhD Positions</t>
        </is>
      </c>
      <c r="Q96" t="inlineStr">
        <is>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is>
      </c>
      <c r="R96" t="inlineStr">
        <is>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is>
      </c>
      <c r="S96" t="inlineStr">
        <is>
          <t>Compliance with MSCA Mobility &amp; Doctoral Eligibility Rules (Pass/Fail) → Academic &amp; Technical Fit with the Specific Project (40%) → Research Experience &amp; Master’s Thesis Quality (30%) → Scientific Presentation &amp; Panel Interview (30%).</t>
        </is>
      </c>
      <c r="T96" t="inlineStr">
        <is>
          <t>Proactive Master’s graduates who monitor EURAXESS daily, apply to specific 3-year project calls matching their exact experimental or computational background, and deliver a sharp 10-minute presentation of their Master’s thesis during the consortium interview.</t>
        </is>
      </c>
      <c r="V96" t="inlineStr">
        <is>
          <t>https://euraxess.ec.europa.eu/jobs/search</t>
        </is>
      </c>
      <c r="Z96" t="inlineStr">
        <is>
          <t>STEM, Research</t>
        </is>
      </c>
      <c r="AA96" s="5" t="n">
        <v>46312</v>
      </c>
      <c r="AB96" s="5" t="n">
        <v>46312</v>
      </c>
      <c r="AC96">
        <f>IF(AND(E96&lt;&gt;"",COUNTIF($E$2:$E$800,E96)&gt;1),"DUPLICATE","")</f>
        <v/>
      </c>
    </row>
    <row r="97">
      <c r="A97" t="inlineStr">
        <is>
          <t>chevening-scholarships-uk-government-global-programme-master</t>
        </is>
      </c>
      <c r="B97" t="inlineStr">
        <is>
          <t>Open</t>
        </is>
      </c>
      <c r="D97" t="inlineStr">
        <is>
          <t>Scholarship</t>
        </is>
      </c>
      <c r="E97" t="inlineStr">
        <is>
          <t>Chevening Scholarships (UK)</t>
        </is>
      </c>
      <c r="F97" t="inlineStr">
        <is>
          <t>UK Foreign, Commonwealth &amp; Development Office (FCDO)</t>
        </is>
      </c>
      <c r="G97" t="inlineStr">
        <is>
          <t>Europe</t>
        </is>
      </c>
      <c r="H97" t="inlineStr">
        <is>
          <t>United Kingdom</t>
        </is>
      </c>
      <c r="I97" t="inlineStr">
        <is>
          <t>Master</t>
        </is>
      </c>
      <c r="J97" t="inlineStr">
        <is>
          <t>All fields</t>
        </is>
      </c>
      <c r="K97" t="inlineStr">
        <is>
          <t>Full</t>
        </is>
      </c>
      <c r="L97" t="inlineStr">
        <is>
          <t>Full Ride (100% UK Tuition Fees, Monthly Living Stipend, Return Economy Flights, Visa &amp; TB Test Costs, Arrival/Departure Allowances)</t>
        </is>
      </c>
      <c r="M97" t="inlineStr">
        <is>
          <t>Aug – Nov 5 (Annual cycle; closes early November at 12:00 UTC)</t>
        </is>
      </c>
      <c r="N97" t="inlineStr">
        <is>
          <t>Citizen of a Chevening-eligible country (including India, Bangladesh, Pakistan, and 160+ nations); Bachelor’s degree; minimum 2 years (2,800 hours) of work experience (full-time, part-time, or voluntary/internships); return to home country for 2 years post-study.</t>
        </is>
      </c>
      <c r="O97" t="inlineStr">
        <is>
          <t>Very High: 4 Core Essays (Leadership, Networking, Studying in the UK, Career Plan) + 3 Unconditional UK University Choices + Embassy Interview</t>
        </is>
      </c>
      <c r="P97" t="inlineStr">
        <is>
          <t>Emerging Leaders &amp; Mid-Career Professionals with 2+ Years of Work/Voluntary Experience</t>
        </is>
      </c>
      <c r="Q97" t="inlineStr">
        <is>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is>
      </c>
      <c r="R97" t="inlineStr">
        <is>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is>
      </c>
      <c r="S97" t="inlineStr">
        <is>
          <t>Automated Eligibility &amp; Work-Hours Filter → Independent Reading Committee Evaluation of the 4 Essays → Shortlisting for In-Person/Virtual British High Commission Panel Interview (Feb–Apr) → Unconditional UK Offer Verification (July).</t>
        </is>
      </c>
      <c r="T97" t="inlineStr">
        <is>
          <t>Professionals, NGO founders, researchers, and policy advocates who use the STAR method (Situation, Task, Action, Result) in all four essays and connect their 3 UK Master’s choices directly to measurable national impact upon returning home.</t>
        </is>
      </c>
      <c r="V97" t="inlineStr">
        <is>
          <t>https://www.chevening.org/scholarships/</t>
        </is>
      </c>
      <c r="Z97" t="inlineStr">
        <is>
          <t>Work experience</t>
        </is>
      </c>
      <c r="AA97" s="5" t="n">
        <v>46312</v>
      </c>
      <c r="AB97" s="5" t="n">
        <v>46312</v>
      </c>
      <c r="AC97">
        <f>IF(AND(E97&lt;&gt;"",COUNTIF($E$2:$E$800,E97)&gt;1),"DUPLICATE","")</f>
        <v/>
      </c>
    </row>
    <row r="98">
      <c r="A98" t="inlineStr">
        <is>
          <t>commonwealth-phd-scholarships-low-middle-income-uk-phd</t>
        </is>
      </c>
      <c r="B98" t="inlineStr">
        <is>
          <t>Open</t>
        </is>
      </c>
      <c r="D98" t="inlineStr">
        <is>
          <t>Scholarship</t>
        </is>
      </c>
      <c r="E98" t="inlineStr">
        <is>
          <t>Commonwealth PhD Scholarships (UK)</t>
        </is>
      </c>
      <c r="F98" t="inlineStr">
        <is>
          <t>UK Foreign, Commonwealth &amp; Development Office (FCDO) &amp; CSC</t>
        </is>
      </c>
      <c r="G98" t="inlineStr">
        <is>
          <t>Europe</t>
        </is>
      </c>
      <c r="H98" t="inlineStr">
        <is>
          <t>United Kingdom</t>
        </is>
      </c>
      <c r="I98" t="inlineStr">
        <is>
          <t>PhD</t>
        </is>
      </c>
      <c r="J98" t="inlineStr">
        <is>
          <t>All fields</t>
        </is>
      </c>
      <c r="K98" t="inlineStr">
        <is>
          <t>Full</t>
        </is>
      </c>
      <c r="L98" t="inlineStr">
        <is>
          <t>Full Ride (100% UK Tuition, £1,378–£1,690/mo Living Stipend, Return Flights, Study Travel Grant, Fieldwork Grant &amp; Family Allowances)</t>
        </is>
      </c>
      <c r="M98" t="inlineStr">
        <is>
          <t>Sep – Oct 15 (Annual CSC portal + National Nominating Agency deadline)</t>
        </is>
      </c>
      <c r="N98" t="inlineStr">
        <is>
          <t>Citizen or permanent resident of an eligible low- or middle-income Commonwealth country (including Bangladesh, Pakistan, India for Split-Site, Nigeria, Kenya, Ghana); holds a First Class or Upper Second Class (2:1) Bachelor’s and Master’s degree; unable to afford UK study without funding.</t>
        </is>
      </c>
      <c r="O98" t="inlineStr">
        <is>
          <t>Very High: UK Doctoral Supervisor Support Statement + Development Impact Statement + CSC Application + National Agency Nomination</t>
        </is>
      </c>
      <c r="P98" t="inlineStr">
        <is>
          <t>Commonwealth Doctoral Candidates Pursuing Development-Oriented PhDs in the UK</t>
        </is>
      </c>
      <c r="Q98" t="inlineStr">
        <is>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is>
      </c>
      <c r="R98" t="inlineStr">
        <is>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is>
      </c>
      <c r="S98" t="inlineStr">
        <is>
          <t>Academic Merit of the Candidate (30%) + Quality of Research Proposal &amp; UK Supervisor Alignment (30%) + Potential Development Impact on the Home Country (40%), vetted jointly by the Home Country Nominating Agency and UK CSC Advisers.</t>
        </is>
      </c>
      <c r="T98" t="inlineStr">
        <is>
          <t>Doctoral researchers who secure early backing from a UK professor before September and frame their PhD thesis around solving a concrete agricultural, climate, public health, or engineering bottleneck in their home Commonwealth nation.</t>
        </is>
      </c>
      <c r="V98" t="inlineStr">
        <is>
          <t>https://cscuk.fcdo.gov.uk/scholarships/</t>
        </is>
      </c>
      <c r="Z98" t="inlineStr">
        <is>
          <t>STEM, Research, Need-based</t>
        </is>
      </c>
      <c r="AA98" s="5" t="n">
        <v>46312</v>
      </c>
      <c r="AB98" s="5" t="n">
        <v>46312</v>
      </c>
      <c r="AC98">
        <f>IF(AND(E98&lt;&gt;"",COUNTIF($E$2:$E$800,E98)&gt;1),"DUPLICATE","")</f>
        <v/>
      </c>
    </row>
    <row r="99">
      <c r="A99" t="inlineStr">
        <is>
          <t>gates-cambridge-scholarship-university-of-cambridge-master-phd</t>
        </is>
      </c>
      <c r="B99" t="inlineStr">
        <is>
          <t>Open</t>
        </is>
      </c>
      <c r="D99" t="inlineStr">
        <is>
          <t>Scholarship</t>
        </is>
      </c>
      <c r="E99" t="inlineStr">
        <is>
          <t>Gates Cambridge Scholarship</t>
        </is>
      </c>
      <c r="F99" t="inlineStr">
        <is>
          <t>Bill &amp; Melinda Gates Foundation &amp; University of Cambridge, UK</t>
        </is>
      </c>
      <c r="G99" t="inlineStr">
        <is>
          <t>Europe</t>
        </is>
      </c>
      <c r="H99" t="inlineStr">
        <is>
          <t>United Kingdom</t>
        </is>
      </c>
      <c r="I99" t="inlineStr">
        <is>
          <t>Master, PhD</t>
        </is>
      </c>
      <c r="J99" t="inlineStr">
        <is>
          <t>All fields</t>
        </is>
      </c>
      <c r="K99" t="inlineStr">
        <is>
          <t>Full</t>
        </is>
      </c>
      <c r="L99" t="inlineStr">
        <is>
          <t>Full Ride (100% University Composition Fee, £21,000/yr Stipend for up to 4 yrs, Economy Airfare, Visa &amp; IHS Health Surcharge, Academic &amp; Family Grants)</t>
        </is>
      </c>
      <c r="M99" t="inlineStr">
        <is>
          <t>Oct 15 (US citizens) / Dec 3 or Jan 7 (International round — varies by Cambridge course)</t>
        </is>
      </c>
      <c r="N99" t="inlineStr">
        <is>
          <t>Citizen of any country outside the United Kingdom; applying to pursue a full-time PhD, MLitt, or 1-year postgraduate course at the University of Cambridge; outstanding intellectual ability, leadership capacity, and commitment to improving the lives of others.</t>
        </is>
      </c>
      <c r="O99" t="inlineStr">
        <is>
          <t>Very High: Cambridge Admission Dossier + Gates Cambridge 500-Word Personal Statement + PhD Research Proposal +Gates Reference Letter + Panel Interview</t>
        </is>
      </c>
      <c r="P99" t="inlineStr">
        <is>
          <t>Top-1% Global Master’s &amp; PhD Applicants with Proven Social Leadership</t>
        </is>
      </c>
      <c r="Q99" t="inlineStr">
        <is>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is>
      </c>
      <c r="R99" t="inlineStr">
        <is>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is>
      </c>
      <c r="S99" t="inlineStr">
        <is>
          <t>Four Equally Weighted Pillars: (1) Outstanding Intellectual Ability (Departmental Ranking), (2) Reasons for Choice of Course (Academic Fit), (3) Commitment to Improving the Lives of Others, and (4) Leadership Potential — culminating in a 25-minute panel interview in March.</t>
        </is>
      </c>
      <c r="T99" t="inlineStr">
        <is>
          <t>Scholars who combine top-ranked departmental academic credentials (publications, valedictorian GPAs) with an authentic, long-standing track record of civic, scientific, or humanitarian leadership.</t>
        </is>
      </c>
      <c r="V99" t="inlineStr">
        <is>
          <t>https://www.gatescambridge.org/apply/</t>
        </is>
      </c>
      <c r="Z99" t="inlineStr">
        <is>
          <t>Research</t>
        </is>
      </c>
      <c r="AA99" s="5" t="n">
        <v>46312</v>
      </c>
      <c r="AB99" s="5" t="n">
        <v>46312</v>
      </c>
      <c r="AC99">
        <f>IF(AND(E99&lt;&gt;"",COUNTIF($E$2:$E$800,E99)&gt;1),"DUPLICATE","")</f>
        <v/>
      </c>
    </row>
    <row r="100">
      <c r="A100" t="inlineStr">
        <is>
          <t>clarendon-fund-scholarships-university-of-oxford-master-phd</t>
        </is>
      </c>
      <c r="B100" t="inlineStr">
        <is>
          <t>Open</t>
        </is>
      </c>
      <c r="D100" t="inlineStr">
        <is>
          <t>Scholarship</t>
        </is>
      </c>
      <c r="E100" t="inlineStr">
        <is>
          <t>Clarendon Fund Scholarships (University of Oxford)</t>
        </is>
      </c>
      <c r="F100" t="inlineStr">
        <is>
          <t>University of Oxford &amp; Oxford University Press, UK</t>
        </is>
      </c>
      <c r="G100" t="inlineStr">
        <is>
          <t>Europe</t>
        </is>
      </c>
      <c r="H100" t="inlineStr">
        <is>
          <t>United Kingdom</t>
        </is>
      </c>
      <c r="I100" t="inlineStr">
        <is>
          <t>Master, PhD</t>
        </is>
      </c>
      <c r="J100" t="inlineStr">
        <is>
          <t>All fields</t>
        </is>
      </c>
      <c r="K100" t="inlineStr">
        <is>
          <t>Full</t>
        </is>
      </c>
      <c r="L100" t="inlineStr">
        <is>
          <t>Full Ride (100% Oxford Course Fees + £19,237+/yr Living Grant for full period of fee liability)</t>
        </is>
      </c>
      <c r="M100" t="inlineStr">
        <is>
          <t>Dec 3 – Jan 9 (Automatic consideration upon applying by your Oxford course’s Dec/Jan deadline)</t>
        </is>
      </c>
      <c r="N100" t="inlineStr">
        <is>
          <t>Open to all nationalities worldwide; applying for any new full-time or part-time Master’s or DPhil (PhD) course at the University of Oxford; exceptional academic merit and research potential (typically GPA ≥ 3.7/4.0 or First Class Honours).</t>
        </is>
      </c>
      <c r="O100" t="inlineStr">
        <is>
          <t>High: No Separate Scholarship Form Required (Evaluated via Oxford Graduate Admission Application, Statement of Purpose, Writing Sample/Proposal &amp; 3 References)</t>
        </is>
      </c>
      <c r="P100" t="inlineStr">
        <is>
          <t>First-Class Master’s &amp; DPhil Applicants Applying to the University of Oxford</t>
        </is>
      </c>
      <c r="Q100" t="inlineStr">
        <is>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is>
      </c>
      <c r="R100" t="inlineStr">
        <is>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is>
      </c>
      <c r="S100" t="inlineStr">
        <is>
          <t>Pure Academic Excellence &amp; Future Potential: Oxford academic departments nominate their top-ranked admitted applicants based on GPA, research proposal originality, publications, and academic references → Divisional Funding Panels allocate awards in Feb–April.</t>
        </is>
      </c>
      <c r="T100" t="inlineStr">
        <is>
          <t>Top-ranked applicants in each Oxford department whose academic transcripts, publications, and research proposals place them in the top 2–5% of their admitted graduate cohort.</t>
        </is>
      </c>
      <c r="V100" t="inlineStr">
        <is>
          <t>https://www.ox.ac.uk/clarendon</t>
        </is>
      </c>
      <c r="Z100" t="inlineStr">
        <is>
          <t>Research</t>
        </is>
      </c>
      <c r="AA100" s="5" t="n">
        <v>46312</v>
      </c>
      <c r="AB100" s="5" t="n">
        <v>46312</v>
      </c>
      <c r="AC100">
        <f>IF(AND(E100&lt;&gt;"",COUNTIF($E$2:$E$800,E100)&gt;1),"DUPLICATE","")</f>
        <v/>
      </c>
    </row>
    <row r="101">
      <c r="A101" t="inlineStr">
        <is>
          <t>international-max-planck-research-schools-imprs-germany-phd</t>
        </is>
      </c>
      <c r="B101" t="inlineStr">
        <is>
          <t>Open</t>
        </is>
      </c>
      <c r="D101" t="inlineStr">
        <is>
          <t>Scholarship</t>
        </is>
      </c>
      <c r="E101" t="inlineStr">
        <is>
          <t>International Max Planck Research Schools (IMPRS) PhD Fellowships</t>
        </is>
      </c>
      <c r="F101" t="inlineStr">
        <is>
          <t>Max Planck Society (Max-Planck-Gesellschaft) &amp; Partner German Universities</t>
        </is>
      </c>
      <c r="G101" t="inlineStr">
        <is>
          <t>Europe</t>
        </is>
      </c>
      <c r="H101" t="inlineStr">
        <is>
          <t>Germany</t>
        </is>
      </c>
      <c r="I101" t="inlineStr">
        <is>
          <t>PhD</t>
        </is>
      </c>
      <c r="J101" t="inlineStr">
        <is>
          <t>Engineering &amp; Technology, Computer Science, Data &amp; AI, Mathematics &amp; Natural Sciences, Health &amp; Life Sciences, Social Sciences &amp; Humanities</t>
        </is>
      </c>
      <c r="K101" t="inlineStr">
        <is>
          <t>Full</t>
        </is>
      </c>
      <c r="L101" t="inlineStr">
        <is>
          <t>Full Salaried PhD Support (~€2,200–€2,700/mo net via TVöD E13 65% Contract, Zero Tuition, Full Health/Social Security, Conference Travel Grants)</t>
        </is>
      </c>
      <c r="M101" t="inlineStr">
        <is>
          <t>Sep – Jan (Main annual calls; select IMPRS schools also recruit in Spring)</t>
        </is>
      </c>
      <c r="N101" t="inlineStr">
        <is>
          <t>Open to all nationalities worldwide; holding (or about to complete) a Master’s degree (or exceptional 4-year B.Sc. Honours for fast-track programs) with top grades; strong English proficiency (no German required).</t>
        </is>
      </c>
      <c r="O101" t="inlineStr">
        <is>
          <t>High: Online IMPRS Portal Application + Motivation Letter + Master’s Thesis Summary + 2–3 Referee Reports + Multi-Stage Symposium Interview</t>
        </is>
      </c>
      <c r="P101" t="inlineStr">
        <is>
          <t>International STEM, AI, Life Sciences &amp; Social Science Graduates Seeking English-Taught PhDs in Germany</t>
        </is>
      </c>
      <c r="Q101" t="inlineStr">
        <is>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is>
      </c>
      <c r="R101" t="inlineStr">
        <is>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is>
      </c>
      <c r="S101" t="inlineStr">
        <is>
          <t>Scientific Committee Screening of Academic Record &amp; Research Experience → Online Pre-Interview → 2-to-3-Day Selection Symposium (Research Talk, 1-on-1 Interviews with Max Planck Directors/PIs, and Lab Rotations/Discussions).</t>
        </is>
      </c>
      <c r="T101" t="inlineStr">
        <is>
          <t>Hands-on experimental and computational Master’s graduates who articulate a deep understanding of the specific Max Planck lab's recent papers and excel during the interactive selection symposium.</t>
        </is>
      </c>
      <c r="V101" t="inlineStr">
        <is>
          <t>https://www.mpg.de/en/imprs</t>
        </is>
      </c>
      <c r="Z101" t="inlineStr">
        <is>
          <t>STEM, Research</t>
        </is>
      </c>
      <c r="AA101" s="5" t="n">
        <v>46312</v>
      </c>
      <c r="AB101" s="5" t="n">
        <v>46312</v>
      </c>
      <c r="AC101">
        <f>IF(AND(E101&lt;&gt;"",COUNTIF($E$2:$E$800,E101)&gt;1),"DUPLICATE","")</f>
        <v/>
      </c>
    </row>
    <row r="102">
      <c r="A102" t="inlineStr">
        <is>
          <t>swedish-institute-scholarships-for-global-professionals-sisgp-master</t>
        </is>
      </c>
      <c r="B102" t="inlineStr">
        <is>
          <t>Open</t>
        </is>
      </c>
      <c r="D102" t="inlineStr">
        <is>
          <t>Scholarship</t>
        </is>
      </c>
      <c r="E102" t="inlineStr">
        <is>
          <t>Swedish Institute Scholarships for Global Professionals (SISGP)</t>
        </is>
      </c>
      <c r="F102" t="inlineStr">
        <is>
          <t>Swedish Institute (SI) — Government of Sweden</t>
        </is>
      </c>
      <c r="G102" t="inlineStr">
        <is>
          <t>Europe</t>
        </is>
      </c>
      <c r="H102" t="inlineStr">
        <is>
          <t>Sweden</t>
        </is>
      </c>
      <c r="I102" t="inlineStr">
        <is>
          <t>Master</t>
        </is>
      </c>
      <c r="J102" t="inlineStr">
        <is>
          <t>All fields</t>
        </is>
      </c>
      <c r="K102" t="inlineStr">
        <is>
          <t>Full</t>
        </is>
      </c>
      <c r="L102" t="inlineStr">
        <is>
          <t>Full Ride (100% Tuition Paid Directly to University, SEK 12,000/mo Living Stipend, SEK 15,000 Travel Grant, Health Insurance)</t>
        </is>
      </c>
      <c r="M102" t="inlineStr">
        <is>
          <t>Jan 15 (UniversityAdmissions.se deadline) / Feb 10 – Feb 26 (SI Scholarship portal window)</t>
        </is>
      </c>
      <c r="N102" t="inlineStr">
        <is>
          <t>Citizens of 33+ eligible SISGP countries (including Bangladesh, Pakistan, Nepal, Indonesia, Kenya, Nigeria, Ghana, etc.); Bachelor’s degree; minimum 3,000 hours of demonstrated work experience AND leadership experience; admitted to one of 700+ eligible English-taught Swedish Master’s programs.</t>
        </is>
      </c>
      <c r="O102" t="inlineStr">
        <is>
          <t>High: UniversityAdmissions.se Application + Official SI Templates for CV, Work &amp; Leadership Proof (3,000+ hrs) + 2 Reference Letters</t>
        </is>
      </c>
      <c r="P102" t="inlineStr">
        <is>
          <t>Professionals from Developing Countries Seeking 1- or 2-Year Master’s in Sweden</t>
        </is>
      </c>
      <c r="Q102" t="inlineStr">
        <is>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is>
      </c>
      <c r="R102" t="inlineStr">
        <is>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is>
      </c>
      <c r="S102" t="inlineStr">
        <is>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is>
      </c>
      <c r="T102" t="inlineStr">
        <is>
          <t>Detail-oriented professionals who strictly follow the Swedish Institute's exact document templates, stamps, and page limits, and rank an SISGP-eligible Master’s program as their #1 priority on UniversityAdmissions.se.</t>
        </is>
      </c>
      <c r="V102" t="inlineStr">
        <is>
          <t>https://si.se/en/apply/scholarships/swedish-institute-scholarships-for-global-professionals/</t>
        </is>
      </c>
      <c r="Z102" t="inlineStr">
        <is>
          <t>Work experience</t>
        </is>
      </c>
      <c r="AA102" s="5" t="n">
        <v>46312</v>
      </c>
      <c r="AB102" s="5" t="n">
        <v>46312</v>
      </c>
      <c r="AC102">
        <f>IF(AND(E102&lt;&gt;"",COUNTIF($E$2:$E$800,E102)&gt;1),"DUPLICATE","")</f>
        <v/>
      </c>
    </row>
    <row r="103">
      <c r="A103" t="inlineStr">
        <is>
          <t>italian-government-maeci-invest-your-talent-in-italy-master-phd</t>
        </is>
      </c>
      <c r="B103" t="inlineStr">
        <is>
          <t>Open</t>
        </is>
      </c>
      <c r="D103" t="inlineStr">
        <is>
          <t>Scholarship</t>
        </is>
      </c>
      <c r="E103" t="inlineStr">
        <is>
          <t>Italian Government MAECI &amp; Invest Your Talent in Italy (IYT) Scholarships</t>
        </is>
      </c>
      <c r="F103" t="inlineStr">
        <is>
          <t>Ministry of Foreign Affairs and International Cooperation (MAECI) — Italy</t>
        </is>
      </c>
      <c r="G103" t="inlineStr">
        <is>
          <t>Europe</t>
        </is>
      </c>
      <c r="H103" t="inlineStr">
        <is>
          <t>Italy</t>
        </is>
      </c>
      <c r="I103" t="inlineStr">
        <is>
          <t>Master, PhD</t>
        </is>
      </c>
      <c r="J103" t="inlineStr">
        <is>
          <t>Engineering &amp; Technology, Architecture, Arts &amp; Design, Business, Economics &amp; Management, All fields</t>
        </is>
      </c>
      <c r="K103" t="inlineStr">
        <is>
          <t>Full</t>
        </is>
      </c>
      <c r="L103" t="inlineStr">
        <is>
          <t>Full Tuition Exemption + €900–€1,000/mo Stipend + Health Insurance + Mandatory Corporate Internship (IYT Track)</t>
        </is>
      </c>
      <c r="M103" t="inlineStr">
        <is>
          <t>Feb – Mar (Invest Your Talent in Italy) / May – June (MAECI Study in Italy Call)</t>
        </is>
      </c>
      <c r="N103" t="inlineStr">
        <is>
          <t>International students from eligible partner countries (including India, Bangladesh, Pakistan, African &amp; Asian nations); age under 28 (for Master’s) or under 30 (for PhD); Bachelor’s/Master’s degree; B2 English proficiency.</t>
        </is>
      </c>
      <c r="O103" t="inlineStr">
        <is>
          <t>Medium: Study in Italy / IYT Portal Application + 1-Minute Video Essay (for IYT) + Statement of Purpose + Transcripts</t>
        </is>
      </c>
      <c r="P103" t="inlineStr">
        <is>
          <t>Engineering, Architecture, Design, Economics &amp; Research Graduates Targeting Top Italian Universities</t>
        </is>
      </c>
      <c r="Q103" t="inlineStr">
        <is>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is>
      </c>
      <c r="R103" t="inlineStr">
        <is>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is>
      </c>
      <c r="S103" t="inlineStr">
        <is>
          <t>Academic GPA &amp; University Fit (50%), Motivation Video/Statement &amp; Professional Potential (30%), Italian Embassy Interview / Country Quota Allocation (20%).</t>
        </is>
      </c>
      <c r="T103" t="inlineStr">
        <is>
          <t>Graduates in engineering, sustainable architecture, data science, and management who secure early pre-admission letters from Politecnico di Milano, Sapienza, or University of Bologna and submit a compelling motivation video.</t>
        </is>
      </c>
      <c r="V103" t="inlineStr">
        <is>
          <t>https://studyinitaly.esteri.it</t>
        </is>
      </c>
      <c r="Z103" t="inlineStr">
        <is>
          <t>STEM</t>
        </is>
      </c>
      <c r="AA103" s="5" t="n">
        <v>46312</v>
      </c>
      <c r="AB103" s="5" t="n">
        <v>46312</v>
      </c>
      <c r="AC103">
        <f>IF(AND(E103&lt;&gt;"",COUNTIF($E$2:$E$800,E103)&gt;1),"DUPLICATE","")</f>
        <v/>
      </c>
    </row>
    <row r="104">
      <c r="A104" t="inlineStr">
        <is>
          <t>italy-dsu-regional-need-based-scholarship-bachelor-master-phd</t>
        </is>
      </c>
      <c r="B104" t="inlineStr">
        <is>
          <t>Open</t>
        </is>
      </c>
      <c r="D104" t="inlineStr">
        <is>
          <t>Scholarship</t>
        </is>
      </c>
      <c r="E104" t="inlineStr">
        <is>
          <t>Italian Regional DSU Need-Based Scholarships (EDISU / ER.GO / LazioDisco)</t>
        </is>
      </c>
      <c r="F104" t="inlineStr">
        <is>
          <t>Italian Regional Right to University Study Agencies (DSU Toscana, EDISU Piemonte, ER.GO, LazioDisco)</t>
        </is>
      </c>
      <c r="G104" t="inlineStr">
        <is>
          <t>Europe</t>
        </is>
      </c>
      <c r="H104" t="inlineStr">
        <is>
          <t>Italy</t>
        </is>
      </c>
      <c r="I104" t="inlineStr">
        <is>
          <t>Bachelor, Master, PhD</t>
        </is>
      </c>
      <c r="J104" t="inlineStr">
        <is>
          <t>All fields</t>
        </is>
      </c>
      <c r="K104" t="inlineStr">
        <is>
          <t>Full</t>
        </is>
      </c>
      <c r="L104" t="inlineStr">
        <is>
          <t>Full Need-Based Support (100% Tuition Waiver, Free Dormitory Housing, Free Daily Canteen Meals + €6,500–€7,900/yr Cash Stipend)</t>
        </is>
      </c>
      <c r="M104" t="inlineStr">
        <is>
          <t>July – September (Annual regional calls aligned with Italian university enrollment)</t>
        </is>
      </c>
      <c r="N104" t="inlineStr">
        <is>
          <t>International and domestic students admitted to any public university in Italy (Bachelor’s, Master’s, or PhD) whose family economic status (ISEE Parificato) falls below the regional threshold (~€24,000–€27,000/yr; nearly all developing-country families qualify).</t>
        </is>
      </c>
      <c r="O104" t="inlineStr">
        <is>
          <t>Medium: No Essay or GPA Cutoff in Year 1 (Requires Legalized/Apostilled Family Income, Bank, Property &amp; Family Composition Documents)</t>
        </is>
      </c>
      <c r="P104" t="inlineStr">
        <is>
          <t>Students from South Asia, Africa &amp; Developing Nations Seeking Guaranteed Need-Based Funding in Italy</t>
        </is>
      </c>
      <c r="Q104" t="inlineStr">
        <is>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is>
      </c>
      <c r="R104" t="inlineStr">
        <is>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is>
      </c>
      <c r="S104" t="inlineStr">
        <is>
          <t>100% Objective Economic Ranking in Year 1 based on the calculated ISEE Parificato score (students from low-income developing countries receive maximum priority points) + Academic Credit (CFU) threshold for Year 2 renewal.</t>
        </is>
      </c>
      <c r="T104" t="inlineStr">
        <is>
          <t>Organized applicants from Bangladesh, India, Pakistan, and Africa who prepare, translate, and legalize their family income and property documents in May/June so they never miss the strict July/August regional DSU upload deadline.</t>
        </is>
      </c>
      <c r="V104" t="inlineStr">
        <is>
          <t>https://www.uni-italia.it</t>
        </is>
      </c>
      <c r="Z104" t="inlineStr">
        <is>
          <t>Need-based</t>
        </is>
      </c>
      <c r="AA104" s="5" t="n">
        <v>46312</v>
      </c>
      <c r="AB104" s="5" t="n">
        <v>46312</v>
      </c>
      <c r="AC104">
        <f>IF(AND(E104&lt;&gt;"",COUNTIF($E$2:$E$800,E104)&gt;1),"DUPLICATE","")</f>
        <v/>
      </c>
    </row>
    <row r="105">
      <c r="A105" t="inlineStr">
        <is>
          <t>vlir-uos-icp-connect-scholarships-belgium-master</t>
        </is>
      </c>
      <c r="B105" t="inlineStr">
        <is>
          <t>Open</t>
        </is>
      </c>
      <c r="D105" t="inlineStr">
        <is>
          <t>Scholarship</t>
        </is>
      </c>
      <c r="E105" t="inlineStr">
        <is>
          <t>VLIR-UOS ICP Connect Scholarships (Belgium)</t>
        </is>
      </c>
      <c r="F105" t="inlineStr">
        <is>
          <t>VLIR-UOS &amp; Belgian Directorate-General for Development Cooperation (DGD)</t>
        </is>
      </c>
      <c r="G105" t="inlineStr">
        <is>
          <t>Europe</t>
        </is>
      </c>
      <c r="H105" t="inlineStr">
        <is>
          <t>Belgium</t>
        </is>
      </c>
      <c r="I105" t="inlineStr">
        <is>
          <t>Master</t>
        </is>
      </c>
      <c r="J105" t="inlineStr">
        <is>
          <t>Agriculture &amp; Food Security, Environment, Water &amp; Energy, Health &amp; Life Sciences, Engineering &amp; Technology, Social Sciences &amp; Humanities</t>
        </is>
      </c>
      <c r="K105" t="inlineStr">
        <is>
          <t>Full</t>
        </is>
      </c>
      <c r="L105" t="inlineStr">
        <is>
          <t>Full Ride (100% Tuition Waiver, €1,400/mo All-Inclusive Stipend, International Flights, Health/Liability Insurance &amp; Logistics Allowance)</t>
        </is>
      </c>
      <c r="M105" t="inlineStr">
        <is>
          <t>Jan 31 – Feb 28 (Varies across the 15 accredited Flemish Master’s programs at KU Leuven, UGent, UAntwerp, VUB, UHasselt)</t>
        </is>
      </c>
      <c r="N105" t="inlineStr">
        <is>
          <t>National and current resident of one of the 29 eligible VLIR-UOS partner countries in Africa, Asia, and Latin America; age under 35 (for initial Master’s) or under 45 (for advanced Master’s); relevant professional/research experience in sustainable development.</t>
        </is>
      </c>
      <c r="O105" t="inlineStr">
        <is>
          <t>High: University Master’s Application + VLIR-UOS Motivation &amp; Social Change Statement + Employer Support + 2 References</t>
        </is>
      </c>
      <c r="P105" t="inlineStr">
        <is>
          <t>Development-Focused Professionals Pursuing English-Taught Master’s at KU Leuven, Ghent, or Antwerp</t>
        </is>
      </c>
      <c r="Q105" t="inlineStr">
        <is>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is>
      </c>
      <c r="R105" t="inlineStr">
        <is>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is>
      </c>
      <c r="S105" t="inlineStr">
        <is>
          <t>Academic Merit &amp; Research Potential (30%), Professional Experience &amp; Likelihood of Knowledge Transfer / Multiplier Effect in Home Country (40%), Gender &amp; Regional Equity Balance (30%).</t>
        </is>
      </c>
      <c r="T105" t="inlineStr">
        <is>
          <t>Researchers, agronomists, public health officers, and water/environmental engineers employed at universities or NGOs who demonstrate how Belgian technical training will immediately scale a project in their home country.</t>
        </is>
      </c>
      <c r="V105" t="inlineStr">
        <is>
          <t>https://www.vliruos.be/get-funded/calls/icp-connect-scholarships</t>
        </is>
      </c>
      <c r="Z105" t="inlineStr">
        <is>
          <t>STEM, Work experience</t>
        </is>
      </c>
      <c r="AA105" s="5" t="n">
        <v>46312</v>
      </c>
      <c r="AB105" s="5" t="n">
        <v>46312</v>
      </c>
      <c r="AC105">
        <f>IF(AND(E105&lt;&gt;"",COUNTIF($E$2:$E$800,E105)&gt;1),"DUPLICATE","")</f>
        <v/>
      </c>
    </row>
    <row r="106">
      <c r="A106" t="inlineStr">
        <is>
          <t>stipendium-hungaricum-postgraduate-track-master-phd</t>
        </is>
      </c>
      <c r="B106" t="inlineStr">
        <is>
          <t>Open</t>
        </is>
      </c>
      <c r="D106" t="inlineStr">
        <is>
          <t>Scholarship</t>
        </is>
      </c>
      <c r="E106" t="inlineStr">
        <is>
          <t>Stipendium Hungaricum (Master’s &amp; PhD Track)</t>
        </is>
      </c>
      <c r="F106" t="inlineStr">
        <is>
          <t>Government of Hungary &amp; Tempus Public Foundation</t>
        </is>
      </c>
      <c r="G106" t="inlineStr">
        <is>
          <t>Europe</t>
        </is>
      </c>
      <c r="H106" t="inlineStr">
        <is>
          <t>Hungary</t>
        </is>
      </c>
      <c r="I106" t="inlineStr">
        <is>
          <t>Master, PhD</t>
        </is>
      </c>
      <c r="J106" t="inlineStr">
        <is>
          <t>All fields</t>
        </is>
      </c>
      <c r="K106" t="inlineStr">
        <is>
          <t>Full</t>
        </is>
      </c>
      <c r="L106" t="inlineStr">
        <is>
          <t>Full Ride (100% Tuition Waiver, Free Dormitory or HUF 40,000/mo Housing Grant, HUF 43,700–180,000/mo Stipend, Medical Insurance)</t>
        </is>
      </c>
      <c r="M106" t="inlineStr">
        <is>
          <t>January 15 (Annual cycle on DreamApply + Home Country Sending Partner portal)</t>
        </is>
      </c>
      <c r="N106" t="inlineStr">
        <is>
          <t>Citizens of 90+ Sending Partner countries (including Bangladesh, Pakistan, India, Nigeria, Kenya, etc.); Bachelor’s degree (for Master’s) or Master’s degree (for PhD); doctoral applicants must upload a Statement of Supervisor Acceptance from a Hungarian professor.</t>
        </is>
      </c>
      <c r="O106" t="inlineStr">
        <is>
          <t>High: Dual Application (Tempus DreamApply Portal + Home Country Ministry/HEC/UGC Portal) + Research Plan + Supervisor Letter (PhD) + Oral Exam</t>
        </is>
      </c>
      <c r="P106" t="inlineStr">
        <is>
          <t>Graduates Seeking English-Taught Master’s &amp; PhDs in Central Europe with Bilateral Quotas</t>
        </is>
      </c>
      <c r="Q106" t="inlineStr">
        <is>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is>
      </c>
      <c r="R106" t="inlineStr">
        <is>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is>
      </c>
      <c r="S106" t="inlineStr">
        <is>
          <t>Stage 1: Nomination by Home Country Sending Partner (HEC/Ministry/UGC exam or merit list) → Stage 2: University Entrance Exam &amp; Skype/Zoom Technical Interview in Hungary (March–May) → Stage 3: Tempus Public Foundation Award Allocation.</t>
        </is>
      </c>
      <c r="T106" t="inlineStr">
        <is>
          <t>Master’s and PhD applicants who submit both the Hungarian and home-ministry applications before January 15 and (for PhD) contact Hungarian professors on doktori.hu in November to secure their mandatory supervisor acceptance letter.</t>
        </is>
      </c>
      <c r="V106" t="inlineStr">
        <is>
          <t>https://stipendiumhungaricum.hu</t>
        </is>
      </c>
      <c r="Z106" t="inlineStr">
        <is>
          <t>STEM, Research</t>
        </is>
      </c>
      <c r="AA106" s="5" t="n">
        <v>46312</v>
      </c>
      <c r="AB106" s="5" t="n">
        <v>46312</v>
      </c>
      <c r="AC106">
        <f>IF(AND(E106&lt;&gt;"",COUNTIF($E$2:$E$800,E106)&gt;1),"DUPLICATE","")</f>
        <v/>
      </c>
    </row>
    <row r="107">
      <c r="A107" t="inlineStr">
        <is>
          <t>turkiye-burslari-graduate-scholarship-master-phd</t>
        </is>
      </c>
      <c r="B107" t="inlineStr">
        <is>
          <t>Open</t>
        </is>
      </c>
      <c r="D107" t="inlineStr">
        <is>
          <t>Scholarship</t>
        </is>
      </c>
      <c r="E107" t="inlineStr">
        <is>
          <t>Türkiye Bursları Graduate Scholarship (Master’s &amp; PhD Track)</t>
        </is>
      </c>
      <c r="F107" t="inlineStr">
        <is>
          <t>Presidency for Turks Abroad and Related Communities (YTB) — Government of Turkey</t>
        </is>
      </c>
      <c r="G107" t="inlineStr">
        <is>
          <t>Europe</t>
        </is>
      </c>
      <c r="H107" t="inlineStr">
        <is>
          <t>Turkey</t>
        </is>
      </c>
      <c r="I107" t="inlineStr">
        <is>
          <t>Master, PhD</t>
        </is>
      </c>
      <c r="J107" t="inlineStr">
        <is>
          <t>All fields</t>
        </is>
      </c>
      <c r="K107" t="inlineStr">
        <is>
          <t>Full</t>
        </is>
      </c>
      <c r="L107" t="inlineStr">
        <is>
          <t>Full Ride (100% Tuition + University Placement + Free Dormitory + Monthly Stipend + 1-Yr Turkish Language Course + Health Insurance + Return Flights)</t>
        </is>
      </c>
      <c r="M107" t="inlineStr">
        <is>
          <t>Jan 10 – Feb 20 (Annual cycle)</t>
        </is>
      </c>
      <c r="N107" t="inlineStr">
        <is>
          <t>International students worldwide; age under 30 for Master’s and under 35 for PhD; minimum 75% academic GPA in Bachelor’s/Master’s degrees.</t>
        </is>
      </c>
      <c r="O107" t="inlineStr">
        <is>
          <t>High: Comprehensive TBBS Portal Application + Research Proposal (3,000-char sections) + Letter of Intent + 2 References + In-Person Embassy Interview</t>
        </is>
      </c>
      <c r="P107" t="inlineStr">
        <is>
          <t>Master’s &amp; PhD Candidates Under 30/35 Seeking Full State Sponsorship &amp; University Placement in Turkey</t>
        </is>
      </c>
      <c r="Q107" t="inlineStr">
        <is>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is>
      </c>
      <c r="R107" t="inlineStr">
        <is>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is>
      </c>
      <c r="S107" t="inlineStr">
        <is>
          <t>Academic GPA, Publications &amp; Research Proposal Review (50%) + 12-University Preference Alignment (20%) + In-Person Panel Interview at the Turkish Embassy/Consulate (30%).</t>
        </is>
      </c>
      <c r="T107" t="inlineStr">
        <is>
          <t>Postgraduate candidates with 80%+ GPAs who write an original, literature-backed research proposal inside the TBBS portal and bring published papers or thesis samples to their in-person Turkish Embassy interview.</t>
        </is>
      </c>
      <c r="V107" t="inlineStr">
        <is>
          <t>https://www.turkiyeburslari.gov.tr</t>
        </is>
      </c>
      <c r="Z107" t="inlineStr">
        <is>
          <t>Research</t>
        </is>
      </c>
      <c r="AA107" s="5" t="n">
        <v>46312</v>
      </c>
      <c r="AB107" s="5" t="n">
        <v>46312</v>
      </c>
      <c r="AC107">
        <f>IF(AND(E107&lt;&gt;"",COUNTIF($E$2:$E$800,E107)&gt;1),"DUPLICATE","")</f>
        <v/>
      </c>
    </row>
    <row r="108">
      <c r="A108" t="inlineStr">
        <is>
          <t>hec-allama-iqbal-tap-scholarship-foreign-students-pakistan</t>
        </is>
      </c>
      <c r="B108" t="inlineStr">
        <is>
          <t>Open</t>
        </is>
      </c>
      <c r="D108" t="inlineStr">
        <is>
          <t>Scholarship</t>
        </is>
      </c>
      <c r="E108" t="inlineStr">
        <is>
          <t>HEC Allama Iqbal &amp; Technical Assistance Programme (TAP) Scholarships</t>
        </is>
      </c>
      <c r="F108" t="inlineStr">
        <is>
          <t>Higher Education Commission (HEC) &amp; Ministry of Foreign Affairs, Government of Pakistan</t>
        </is>
      </c>
      <c r="G108" t="inlineStr">
        <is>
          <t>Asia</t>
        </is>
      </c>
      <c r="H108" t="inlineStr">
        <is>
          <t>Pakistan</t>
        </is>
      </c>
      <c r="I108" t="inlineStr">
        <is>
          <t>Bachelor, Master, PhD</t>
        </is>
      </c>
      <c r="J108" t="inlineStr">
        <is>
          <t>Engineering &amp; Technology, Health &amp; Life Sciences, Computer Science, Data &amp; AI, Agriculture &amp; Food Security, All fields</t>
        </is>
      </c>
      <c r="K108" t="inlineStr">
        <is>
          <t>Full</t>
        </is>
      </c>
      <c r="L108" t="inlineStr">
        <is>
          <t>Full Ride (100% Tuition Waiver, Free University Hostel, Monthly Living Stipend, Annual Book Allowance &amp; Return Airfare)</t>
        </is>
      </c>
      <c r="M108" t="inlineStr">
        <is>
          <t>Mar – Jun (Annual cycle via HEC Portal &amp; Pakistan Embassies/High Commissions)</t>
        </is>
      </c>
      <c r="N108" t="inlineStr">
        <is>
          <t>International students from South/Central Asia, Sri Lanka, Nepal, Afghanistan, Commonwealth, OIC, and developing partner countries; age 17–22 for Bachelor’s, under 30 for Master’s, and under 35 for PhD; strong academic standing.</t>
        </is>
      </c>
      <c r="O108" t="inlineStr">
        <is>
          <t>Medium: Online HEC Scholarship Application + Attested Academic Transcripts + Written/Online Aptitude Test + Embassy Interview</t>
        </is>
      </c>
      <c r="P108" t="inlineStr">
        <is>
          <t>International Students Seeking Fully Funded MBBS, BDS, Engineering, CS, or Postgraduate Degrees at Top Pakistani Universities</t>
        </is>
      </c>
      <c r="Q108" t="inlineStr">
        <is>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is>
      </c>
      <c r="R108" t="inlineStr">
        <is>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is>
      </c>
      <c r="S108" t="inlineStr">
        <is>
          <t>HEC Written/Online Academic Aptitude Test + Academic GPA Evaluation + Bilateral Country-Quota Interview conducted by HEC and the local Pakistan High Commission.</t>
        </is>
      </c>
      <c r="T108" t="inlineStr">
        <is>
          <t>High-GPA science, pre-medical, and engineering students from South Asia, Central Asia, and Africa who apply early through both the HEC portal and their local Pakistan Mission.</t>
        </is>
      </c>
      <c r="V108" t="inlineStr">
        <is>
          <t>https://www.hec.gov.pk/english/scholarshipsgrants/</t>
        </is>
      </c>
      <c r="Z108" t="inlineStr">
        <is>
          <t>STEM</t>
        </is>
      </c>
      <c r="AA108" s="5" t="n">
        <v>46312</v>
      </c>
      <c r="AB108" s="5" t="n">
        <v>46312</v>
      </c>
      <c r="AC108">
        <f>IF(AND(E108&lt;&gt;"",COUNTIF($E$2:$E$800,E108)&gt;1),"DUPLICATE","")</f>
        <v/>
      </c>
    </row>
    <row r="109">
      <c r="A109" t="inlineStr">
        <is>
          <t>comstech-oic-consortium-of-excellence-fellowships-pakistan-master-phd</t>
        </is>
      </c>
      <c r="B109" t="inlineStr">
        <is>
          <t>Open</t>
        </is>
      </c>
      <c r="D109" t="inlineStr">
        <is>
          <t>Scholarship</t>
        </is>
      </c>
      <c r="E109" t="inlineStr">
        <is>
          <t>COMSTECH-OIC Consortium of Excellence Fellowships (Pakistan)</t>
        </is>
      </c>
      <c r="F109" t="inlineStr">
        <is>
          <t>OIC Standing Committee on Scientific &amp; Technological Cooperation (COMSTECH) — Islamabad, Pakistan</t>
        </is>
      </c>
      <c r="G109" t="inlineStr">
        <is>
          <t>Asia</t>
        </is>
      </c>
      <c r="H109" t="inlineStr">
        <is>
          <t>Pakistan</t>
        </is>
      </c>
      <c r="I109" t="inlineStr">
        <is>
          <t>Master, PhD</t>
        </is>
      </c>
      <c r="J109" t="inlineStr">
        <is>
          <t>Engineering &amp; Technology, Computer Science, Data &amp; AI, Mathematics &amp; Natural Sciences, Health &amp; Life Sciences, Agriculture &amp; Food Security</t>
        </is>
      </c>
      <c r="K109" t="inlineStr">
        <is>
          <t>Full</t>
        </is>
      </c>
      <c r="L109" t="inlineStr">
        <is>
          <t>Full Fellowship (100% Tuition Waiver, Free Campus Accommodation, Monthly Living Stipend &amp; Round-Trip Economy Airfare)</t>
        </is>
      </c>
      <c r="M109" t="inlineStr">
        <is>
          <t>Mar – May (Annual cycle across COMSTECH Fellowship tracks)</t>
        </is>
      </c>
      <c r="N109" t="inlineStr">
        <is>
          <t>Citizens of any of the 57 OIC Member States (including Bangladesh, Pakistan, Malaysia, Indonesia, Egypt, Nigeria, Uganda, etc.); age under 35 (Master’s) or under 40 (PhD); B.Sc. or M.Sc. in STEM, Health, or Agricultural Sciences.</t>
        </is>
      </c>
      <c r="O109" t="inlineStr">
        <is>
          <t>Medium: COMSTECH Application Form + Host Institute Acceptance/Endorsement + Research Plan + 2 Reference Letters</t>
        </is>
      </c>
      <c r="P109" t="inlineStr">
        <is>
          <t>Researchers &amp; Graduate Students from OIC Member States (Including Bangladesh &amp; Pakistan) in STEM, Virology, Chemistry &amp; AI</t>
        </is>
      </c>
      <c r="Q109" t="inlineStr">
        <is>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is>
      </c>
      <c r="R109" t="inlineStr">
        <is>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is>
      </c>
      <c r="S109" t="inlineStr">
        <is>
          <t>Technical Review by COMSTECH Expert Panel in Islamabad + Host University/Institute Supervisor Evaluation of Research Feasibility + Regional OIC Distribution.</t>
        </is>
      </c>
      <c r="T109" t="inlineStr">
        <is>
          <t>Young chemists, biotechnologists, agricultural scientists, and computer scientists from OIC countries (especially Bangladesh, Sub-Saharan Africa, and Central Asia) seeking intensive laboratory training in Pakistan.</t>
        </is>
      </c>
      <c r="V109" t="inlineStr">
        <is>
          <t>https://comstech.org/fellowships/</t>
        </is>
      </c>
      <c r="Z109" t="inlineStr">
        <is>
          <t>STEM, Research</t>
        </is>
      </c>
      <c r="AA109" s="5" t="n">
        <v>46312</v>
      </c>
      <c r="AB109" s="5" t="n">
        <v>46312</v>
      </c>
      <c r="AC109">
        <f>IF(AND(E109&lt;&gt;"",COUNTIF($E$2:$E$800,E109)&gt;1),"DUPLICATE","")</f>
        <v/>
      </c>
    </row>
    <row r="110">
      <c r="A110" t="inlineStr">
        <is>
          <t>lums-national-outreach-programme-nop-saarc-scholarship-pakistan-bachelor</t>
        </is>
      </c>
      <c r="B110" t="inlineStr">
        <is>
          <t>Open</t>
        </is>
      </c>
      <c r="D110" t="inlineStr">
        <is>
          <t>Scholarship</t>
        </is>
      </c>
      <c r="E110" t="inlineStr">
        <is>
          <t>LUMS National Outreach Programme (NOP) &amp; International Scholarships</t>
        </is>
      </c>
      <c r="F110" t="inlineStr">
        <is>
          <t>Lahore University of Management Sciences (LUMS) — Lahore, Pakistan</t>
        </is>
      </c>
      <c r="G110" t="inlineStr">
        <is>
          <t>Asia</t>
        </is>
      </c>
      <c r="H110" t="inlineStr">
        <is>
          <t>Pakistan</t>
        </is>
      </c>
      <c r="I110" t="inlineStr">
        <is>
          <t>Bachelor, Master</t>
        </is>
      </c>
      <c r="J110" t="inlineStr">
        <is>
          <t>Business, Economics &amp; Management, Computer Science, Data &amp; AI, Engineering &amp; Technology, Law, Governance &amp; Public Policy, Social Sciences &amp; Humanities</t>
        </is>
      </c>
      <c r="K110" t="inlineStr">
        <is>
          <t>Full</t>
        </is>
      </c>
      <c r="L110" t="inlineStr">
        <is>
          <t>Full Ride (100% Tuition &amp; Registration Fee Waiver, Free Hostel Accommodation, Monthly Living &amp; Book Stipend, Free Summer Coaching Session)</t>
        </is>
      </c>
      <c r="M110" t="inlineStr">
        <is>
          <t>Feb – Mar (NOP Undergraduate Summer Coaching Track) / Jan – Apr (Direct Graduate &amp; SAARC Scholarship Track)</t>
        </is>
      </c>
      <c r="N110" t="inlineStr">
        <is>
          <t>High-achieving students from Pakistan (and SAARC/international applicants under LUMS Merit &amp; Shamim Khan Scholarships) with minimum 80% marks in Matric/O-Level; demonstrated high financial need for NOP.</t>
        </is>
      </c>
      <c r="O110" t="inlineStr">
        <is>
          <t>High: Financial Need Dossier + 2-Week LUMS Summer Coaching Session (for NOP) + SAT/LCAT Entrance Exam + Admission Application</t>
        </is>
      </c>
      <c r="P110" t="inlineStr">
        <is>
          <t>Brilliant Low-Income Pakistani &amp; South Asian Students Targeting Pakistan’s #1 Private Research University</t>
        </is>
      </c>
      <c r="Q110" t="inlineStr">
        <is>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is>
      </c>
      <c r="R110" t="inlineStr">
        <is>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is>
      </c>
      <c r="S110" t="inlineStr">
        <is>
          <t>Stage 1: Academic Merit (80%+ Matric) &amp; Financial Need Audit → Stage 2: Evaluation during the 2-Week Residential Summer Coaching Session at LUMS → Stage 3: Performance in LCAT/SAT &amp; Holistic Admission Committee Review.</t>
        </is>
      </c>
      <c r="T110" t="inlineStr">
        <is>
          <t>High-scoring F.Sc. and A-Level students from small towns and modest backgrounds across Pakistan who apply in Year 1 of Intermediate (F.Sc. Part-I) and excel in the LUMS Summer Coaching Session.</t>
        </is>
      </c>
      <c r="V110" t="inlineStr">
        <is>
          <t>https://nop.lums.edu.pk</t>
        </is>
      </c>
      <c r="Z110" t="inlineStr">
        <is>
          <t>STEM, Need-based</t>
        </is>
      </c>
      <c r="AA110" s="5" t="n">
        <v>46312</v>
      </c>
      <c r="AB110" s="5" t="n">
        <v>46312</v>
      </c>
      <c r="AC110">
        <f>IF(AND(E110&lt;&gt;"",COUNTIF($E$2:$E$800,E110)&gt;1),"DUPLICATE","")</f>
        <v/>
      </c>
    </row>
    <row r="111">
      <c r="A111" t="inlineStr">
        <is>
          <t>aga-khan-university-aku-financial-assistance-scholarships-pakistan</t>
        </is>
      </c>
      <c r="B111" t="inlineStr">
        <is>
          <t>Open</t>
        </is>
      </c>
      <c r="D111" t="inlineStr">
        <is>
          <t>Scholarship</t>
        </is>
      </c>
      <c r="E111" t="inlineStr">
        <is>
          <t>Aga Khan University (AKU) Financial Assistance &amp; Merit Scholarships</t>
        </is>
      </c>
      <c r="F111" t="inlineStr">
        <is>
          <t>Aga Khan University &amp; Aga Khan Development Network — Karachi, Pakistan</t>
        </is>
      </c>
      <c r="G111" t="inlineStr">
        <is>
          <t>Asia</t>
        </is>
      </c>
      <c r="H111" t="inlineStr">
        <is>
          <t>Pakistan</t>
        </is>
      </c>
      <c r="I111" t="inlineStr">
        <is>
          <t>Bachelor, Master, PhD</t>
        </is>
      </c>
      <c r="J111" t="inlineStr">
        <is>
          <t>Health &amp; Life Sciences, Education</t>
        </is>
      </c>
      <c r="K111" t="inlineStr">
        <is>
          <t>Full</t>
        </is>
      </c>
      <c r="L111" t="inlineStr">
        <is>
          <t>Up to 100% Need-Blind Financial Assistance (Grant-in-Aid Tuition Coverage + Interest-Free Student Loan + Hostel &amp; Stipend Support)</t>
        </is>
      </c>
      <c r="M111" t="inlineStr">
        <is>
          <t>May – Jul (AKU Admission Test Cycle; Financial Aid applications open upon admission shortlisting)</t>
        </is>
      </c>
      <c r="N111" t="inlineStr">
        <is>
          <t>Pakistani and international students admitted on pure academic merit to AKU Karachi programs (MBBS, B.Sc. Nursing, M.Ed., Master of Public Health, Health Data Science, or PhD in Health Sciences) who demonstrate financial need.</t>
        </is>
      </c>
      <c r="O111" t="inlineStr">
        <is>
          <t>Very High: Rigorous AKU Admission Test (Science/Math Reasoning) + Multiple Mini Interviews (MMIs) + Comprehensive Household Financial Audit</t>
        </is>
      </c>
      <c r="P111" t="inlineStr">
        <is>
          <t>Top Pre-Medical, Nursing, Public Health &amp; Education Students Seeking Need-Blind Admission at AKU Karachi</t>
        </is>
      </c>
      <c r="Q111" t="inlineStr">
        <is>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is>
      </c>
      <c r="R111" t="inlineStr">
        <is>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is>
      </c>
      <c r="S111" t="inlineStr">
        <is>
          <t>Step 1: Strictly Merit-Based Admission (AKU Written Test in Biology, Chemistry, Physics, Science/Math Reasoning + 2 Independent Interviews) → Step 2: Independent Financial Assistance Committee Verification of Family Need.</t>
        </is>
      </c>
      <c r="T111" t="inlineStr">
        <is>
          <t>Brilliant pre-medical and healthcare students who master the AKU Admission Test's analytical science reasoning section and provide transparent, well-documented family financial records after receiving their admission offer.</t>
        </is>
      </c>
      <c r="V111" t="inlineStr">
        <is>
          <t>https://www.aku.edu/admissions/fees-and-funding/Pages/home.aspx</t>
        </is>
      </c>
      <c r="Z111" t="inlineStr">
        <is>
          <t>Need-based</t>
        </is>
      </c>
      <c r="AA111" s="5" t="n">
        <v>46312</v>
      </c>
      <c r="AB111" s="5" t="n">
        <v>46312</v>
      </c>
      <c r="AC111">
        <f>IF(AND(E111&lt;&gt;"",COUNTIF($E$2:$E$800,E111)&gt;1),"DUPLICATE","")</f>
        <v/>
      </c>
    </row>
    <row r="112">
      <c r="A112" t="inlineStr">
        <is>
          <t>hec-overseas-scholarships-us-pakistan-knowledge-corridor-master-phd</t>
        </is>
      </c>
      <c r="B112" t="inlineStr">
        <is>
          <t>Open</t>
        </is>
      </c>
      <c r="D112" t="inlineStr">
        <is>
          <t>Scholarship</t>
        </is>
      </c>
      <c r="E112" t="inlineStr">
        <is>
          <t>HEC Overseas Scholarships &amp; US-Pakistan Knowledge Corridor (Master’s &amp; PhD)</t>
        </is>
      </c>
      <c r="F112" t="inlineStr">
        <is>
          <t>Higher Education Commission (HEC), Government of Pakistan</t>
        </is>
      </c>
      <c r="G112" t="inlineStr">
        <is>
          <t>Asia</t>
        </is>
      </c>
      <c r="H112" t="inlineStr">
        <is>
          <t>United States, United Kingdom, Germany, China</t>
        </is>
      </c>
      <c r="I112" t="inlineStr">
        <is>
          <t>Master, PhD</t>
        </is>
      </c>
      <c r="J112" t="inlineStr">
        <is>
          <t>Engineering &amp; Technology, Computer Science, Data &amp; AI, Mathematics &amp; Natural Sciences, Agriculture &amp; Food Security, All fields</t>
        </is>
      </c>
      <c r="K112" t="inlineStr">
        <is>
          <t>Full</t>
        </is>
      </c>
      <c r="L112" t="inlineStr">
        <is>
          <t>Full Ride Overseas (100% Tuition or Top-300 Global Partner Placement, Monthly Living Stipend, Return Airfare, Health Insurance &amp; Settlement Grant)</t>
        </is>
      </c>
      <c r="M112" t="inlineStr">
        <is>
          <t>Staggered annual windows (Typically Mar – Jun &amp; Sep – Nov on HEC e-portal)</t>
        </is>
      </c>
      <c r="N112" t="inlineStr">
        <is>
          <t>Pakistani/AJK citizens; age under 35 (or under 40 for regular public university faculty/researchers); minimum 16–18 years of education (BS/MS/MPhil) with CGPA ≥ 3.0/4.0 or First Division; valid HAT or GRE score (≥ 60% / 300+).</t>
        </is>
      </c>
      <c r="O112" t="inlineStr">
        <is>
          <t>Very High: HEC Online Application + HAT/GRE Score + Admission Offer from QS/THE Top-200/300 Global University + Legal Surety Bond to Return to Pakistan</t>
        </is>
      </c>
      <c r="P112" t="inlineStr">
        <is>
          <t>Pakistani Graduates &amp; Junior Faculty Pursuing Fully Funded PhDs at Top US, UK, German, or Chinese Universities</t>
        </is>
      </c>
      <c r="Q112" t="inlineStr">
        <is>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is>
      </c>
      <c r="R112" t="inlineStr">
        <is>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is>
      </c>
      <c r="S112" t="inlineStr">
        <is>
          <t>Academic Career Score (SSC to MS/MPhil CGPA) + HAT/GRE Test Score + QS/THE Global Ranking of Host Foreign University (applicants holding tuition-waived PhD offers from US R1 or European universities receive priority fast-track awards).</t>
        </is>
      </c>
      <c r="T112" t="inlineStr">
        <is>
          <t>Pakistani BS/MS graduates who score 70+ in the HEC HAT (or 310+ on the GRE) and secure a tuition-waived PhD acceptance from a top US R1 university or a German/European partner institution.</t>
        </is>
      </c>
      <c r="V112" t="inlineStr">
        <is>
          <t>https://www.hec.gov.pk/english/scholarshipsgrants/</t>
        </is>
      </c>
      <c r="Z112" t="inlineStr">
        <is>
          <t>STEM, Research</t>
        </is>
      </c>
      <c r="AA112" s="5" t="n">
        <v>46312</v>
      </c>
      <c r="AB112" s="5" t="n">
        <v>46312</v>
      </c>
      <c r="AC112">
        <f>IF(AND(E112&lt;&gt;"",COUNTIF($E$2:$E$800,E112)&gt;1),"DUPLICATE","")</f>
        <v/>
      </c>
    </row>
    <row r="113">
      <c r="A113" t="inlineStr">
        <is>
          <t>usefp-fulbright-degree-program-pakistan-master-phd</t>
        </is>
      </c>
      <c r="B113" t="inlineStr">
        <is>
          <t>Open</t>
        </is>
      </c>
      <c r="D113" t="inlineStr">
        <is>
          <t>Scholarship</t>
        </is>
      </c>
      <c r="E113" t="inlineStr">
        <is>
          <t>USEFP Fulbright Master’s &amp; PhD Scholarship Program (Pakistan Track)</t>
        </is>
      </c>
      <c r="F113" t="inlineStr">
        <is>
          <t>United States Educational Foundation in Pakistan (USEFP), HEC &amp; US Dept. of State</t>
        </is>
      </c>
      <c r="G113" t="inlineStr">
        <is>
          <t>Asia</t>
        </is>
      </c>
      <c r="H113" t="inlineStr">
        <is>
          <t>United States</t>
        </is>
      </c>
      <c r="I113" t="inlineStr">
        <is>
          <t>Master, PhD</t>
        </is>
      </c>
      <c r="J113" t="inlineStr">
        <is>
          <t>All fields</t>
        </is>
      </c>
      <c r="K113" t="inlineStr">
        <is>
          <t>Full</t>
        </is>
      </c>
      <c r="L113" t="inlineStr">
        <is>
          <t>Full Ride (100% US Tuition, Monthly Living Stipend, Textbooks, Return Airfare, Health Insurance &amp; J-1 Visa Sponsorship)</t>
        </is>
      </c>
      <c r="M113" t="inlineStr">
        <is>
          <t>Feb – Apr (Annual cycle via USEFP Islamabad portal)</t>
        </is>
      </c>
      <c r="N113" t="inlineStr">
        <is>
          <t>Pakistani citizens residing in Pakistan; 16 years of education (4-year BS or BSc+MSc) for Master’s or 18 years (MS/MPhil) for PhD; GRE General Test required; all non-clinical fields (Energy, Water, Agriculture, Public Health, Education, Social Sciences, STEM).</t>
        </is>
      </c>
      <c r="O113" t="inlineStr">
        <is>
          <t>Very High: GRE General Exam + 2 Detailed Essays (Study Objectives &amp; Personal Statement) + 3 Reference Letters + PhD Writing Sample + USEFP Interview</t>
        </is>
      </c>
      <c r="P113" t="inlineStr">
        <is>
          <t>Pakistani Graduates &amp; Professionals Seeking Fully Funded Master’s or PhDs at Top US Universities</t>
        </is>
      </c>
      <c r="Q113" t="inlineStr">
        <is>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is>
      </c>
      <c r="R113" t="inlineStr">
        <is>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is>
      </c>
      <c r="S113" t="inlineStr">
        <is>
          <t>Holistic Review of Academic Record, GRE Score &amp; Essay Depth (50%) + Regional/Gender Diversity across all Pakistani Provinces (20%) + In-Person Panel Interview in Islamabad/Karachi/Lahore (30%).</t>
        </is>
      </c>
      <c r="T113" t="inlineStr">
        <is>
          <t>Authentic Pakistani applicants—especially women and candidates from underserved regions of Punjab, Sindh, KP, Balochistan, GB, and AJK—who pair a competitive GRE score with a clear, non-generic vision for solving a real development challenge in Pakistan.</t>
        </is>
      </c>
      <c r="V113" t="inlineStr">
        <is>
          <t>https://www.usefp.org/scholarships/fulbright-degree.cfm</t>
        </is>
      </c>
      <c r="Z113" t="inlineStr">
        <is>
          <t>STEM, Research</t>
        </is>
      </c>
      <c r="AA113" s="5" t="n">
        <v>46312</v>
      </c>
      <c r="AB113" s="5" t="n">
        <v>46312</v>
      </c>
      <c r="AC113">
        <f>IF(AND(E113&lt;&gt;"",COUNTIF($E$2:$E$800,E113)&gt;1),"DUPLICATE","")</f>
        <v/>
      </c>
    </row>
    <row r="114">
      <c r="A114" t="inlineStr">
        <is>
          <t>hec-indigenous-5000-phd-fellowship-program-pakistan-phd</t>
        </is>
      </c>
      <c r="B114" t="inlineStr">
        <is>
          <t>Open</t>
        </is>
      </c>
      <c r="D114" t="inlineStr">
        <is>
          <t>Scholarship</t>
        </is>
      </c>
      <c r="E114" t="inlineStr">
        <is>
          <t>HEC Indigenous PhD Fellowship Program (Pakistan)</t>
        </is>
      </c>
      <c r="F114" t="inlineStr">
        <is>
          <t>Higher Education Commission (HEC), Government of Pakistan</t>
        </is>
      </c>
      <c r="G114" t="inlineStr">
        <is>
          <t>Asia</t>
        </is>
      </c>
      <c r="H114" t="inlineStr">
        <is>
          <t>Pakistan</t>
        </is>
      </c>
      <c r="I114" t="inlineStr">
        <is>
          <t>PhD</t>
        </is>
      </c>
      <c r="J114" t="inlineStr">
        <is>
          <t>All fields</t>
        </is>
      </c>
      <c r="K114" t="inlineStr">
        <is>
          <t>Full</t>
        </is>
      </c>
      <c r="L114" t="inlineStr">
        <is>
          <t>Full Domestic PhD Funding (100% Pakistani University Tuition + Lab Bench Fees + Monthly Stipend + Book/Thesis Grant + 6-Mo Overseas IRSIP Split-Site Eligibility)</t>
        </is>
      </c>
      <c r="M114" t="inlineStr">
        <is>
          <t>Periodic batch calls via HEC e-portal</t>
        </is>
      </c>
      <c r="N114" t="inlineStr">
        <is>
          <t>Pakistani/AJK nationals; age under 35 (or under 40 for public-sector university faculty/researchers); minimum CGPA 3.0/4.0 in MS/MPhil/18-year degree; valid HEC HAT score ≥ 60%.</t>
        </is>
      </c>
      <c r="O114" t="inlineStr">
        <is>
          <t>High: HEC e-Portal Application + HAT Qualifying Score + PhD Admission at an HEC-Recognized Pakistani University</t>
        </is>
      </c>
      <c r="P114" t="inlineStr">
        <is>
          <t>Pakistani Researchers Pursuing Fully Funded Domestic PhDs with 6-Month Overseas Lab Placement (IRSIP)</t>
        </is>
      </c>
      <c r="Q114" t="inlineStr">
        <is>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is>
      </c>
      <c r="R114" t="inlineStr">
        <is>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is>
      </c>
      <c r="S114" t="inlineStr">
        <is>
          <t>Composite Merit Formula combining Academic Record (SSC to MS/MPhil) and HAT Test Score, allocated according to Federal and Provincial/Regional quotas across Pakistan.</t>
        </is>
      </c>
      <c r="T114" t="inlineStr">
        <is>
          <t>Diligent Pakistani MS/MPhil graduates who clear the HEC HAT exam with 65%+ marks, enroll with an HEC-approved PhD supervisor at NUST, QAU, PIEAS, UET, COMSATS, or Punjab University, and later leverage IRSIP for a 6-month international lab visit.</t>
        </is>
      </c>
      <c r="V114" t="inlineStr">
        <is>
          <t>https://www.hec.gov.pk/english/scholarshipsgrants/Indigenous/</t>
        </is>
      </c>
      <c r="Z114" t="inlineStr">
        <is>
          <t>STEM, Research</t>
        </is>
      </c>
      <c r="AA114" s="5" t="n">
        <v>46312</v>
      </c>
      <c r="AB114" s="5" t="n">
        <v>46312</v>
      </c>
      <c r="AC114">
        <f>IF(AND(E114&lt;&gt;"",COUNTIF($E$2:$E$800,E114)&gt;1),"DUPLICATE","")</f>
        <v/>
      </c>
    </row>
    <row r="115">
      <c r="A115" t="inlineStr">
        <is>
          <t>british-council-pakistan-scottish-scholarship-scheme-master</t>
        </is>
      </c>
      <c r="B115" t="inlineStr">
        <is>
          <t>Open</t>
        </is>
      </c>
      <c r="D115" t="inlineStr">
        <is>
          <t>Scholarship</t>
        </is>
      </c>
      <c r="E115" t="inlineStr">
        <is>
          <t>British Council Pakistan Scottish Scholarship Scheme</t>
        </is>
      </c>
      <c r="F115" t="inlineStr">
        <is>
          <t>Scottish Government &amp; British Council Pakistan</t>
        </is>
      </c>
      <c r="G115" t="inlineStr">
        <is>
          <t>Asia</t>
        </is>
      </c>
      <c r="H115" t="inlineStr">
        <is>
          <t>Pakistan</t>
        </is>
      </c>
      <c r="I115" t="inlineStr">
        <is>
          <t>Master</t>
        </is>
      </c>
      <c r="J115" t="inlineStr">
        <is>
          <t>Education, Environment, Water &amp; Energy, Agriculture &amp; Food Security, Health &amp; Life Sciences, Engineering &amp; Technology</t>
        </is>
      </c>
      <c r="K115" t="inlineStr">
        <is>
          <t>Full</t>
        </is>
      </c>
      <c r="L115" t="inlineStr">
        <is>
          <t>Full Domestic Master’s Grant (100% Tuition Fees, University Hostel Accommodation, Travel To/From Home twice a year &amp; Study Materials)</t>
        </is>
      </c>
      <c r="M115" t="inlineStr">
        <is>
          <t>Mar – Apr (Annual call via British Council Pakistan)</t>
        </is>
      </c>
      <c r="N115" t="inlineStr">
        <is>
          <t>Female Pakistani citizens currently residing in Pakistan; holding a confirmed admission offer for a 1- or 2-year Master’s/MPhil degree at an HEC-recognized university in Pakistan in STEM, Education, Sustainable Energy, Food Security/Agriculture, or Health Sciences.</t>
        </is>
      </c>
      <c r="O115" t="inlineStr">
        <is>
          <t>Medium: Online British Council Application + Pakistani University Admission Offer + Financial Need Proof + Personal Statement</t>
        </is>
      </c>
      <c r="P115" t="inlineStr">
        <is>
          <t>Pakistani Women Pursuing Master’s/MPhil Degrees in STEM, Health, Education, or Climate/Agriculture in Pakistan</t>
        </is>
      </c>
      <c r="Q115" t="inlineStr">
        <is>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is>
      </c>
      <c r="R115" t="inlineStr">
        <is>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is>
      </c>
      <c r="S115" t="inlineStr">
        <is>
          <t>Academic Merit in Bachelor’s Degree (35%) + Demonstrated Financial Need &amp; Rural/Minority Representation (40%) + Alignment with Scottish Government Priority Fields &amp; Leadership Motivation (25%).</t>
        </is>
      </c>
      <c r="T115" t="inlineStr">
        <is>
          <t>Ambitious female graduates from across Pakistan—with special encouragement for candidates from rural areas, minority communities, and persons with disabilities—admitted to Master’s programs in renewable energy, STEM, public health, or education.</t>
        </is>
      </c>
      <c r="V115" t="inlineStr">
        <is>
          <t>https://www.britishcouncil.pk/programmes/education/scholarships</t>
        </is>
      </c>
      <c r="Z115" t="inlineStr">
        <is>
          <t>Women, STEM, Need-based</t>
        </is>
      </c>
      <c r="AA115" s="5" t="n">
        <v>46312</v>
      </c>
      <c r="AB115" s="5" t="n">
        <v>46312</v>
      </c>
      <c r="AC115">
        <f>IF(AND(E115&lt;&gt;"",COUNTIF($E$2:$E$800,E115)&gt;1),"DUPLICATE","")</f>
        <v/>
      </c>
    </row>
    <row r="116">
      <c r="AA116" s="5" t="n"/>
      <c r="AB116" s="5" t="n"/>
      <c r="AC116">
        <f>IF(AND(E116&lt;&gt;"",COUNTIF($E$2:$E$800,E116)&gt;1),"DUPLICATE","")</f>
        <v/>
      </c>
    </row>
    <row r="117">
      <c r="AA117" s="5" t="n"/>
      <c r="AB117" s="5" t="n"/>
      <c r="AC117">
        <f>IF(AND(E117&lt;&gt;"",COUNTIF($E$2:$E$800,E117)&gt;1),"DUPLICATE","")</f>
        <v/>
      </c>
    </row>
    <row r="118">
      <c r="AA118" s="5" t="n"/>
      <c r="AB118" s="5" t="n"/>
      <c r="AC118">
        <f>IF(AND(E118&lt;&gt;"",COUNTIF($E$2:$E$800,E118)&gt;1),"DUPLICATE","")</f>
        <v/>
      </c>
    </row>
    <row r="119">
      <c r="AA119" s="5" t="n"/>
      <c r="AB119" s="5" t="n"/>
      <c r="AC119">
        <f>IF(AND(E119&lt;&gt;"",COUNTIF($E$2:$E$800,E119)&gt;1),"DUPLICATE","")</f>
        <v/>
      </c>
    </row>
    <row r="120">
      <c r="AA120" s="5" t="n"/>
      <c r="AB120" s="5" t="n"/>
      <c r="AC120">
        <f>IF(AND(E120&lt;&gt;"",COUNTIF($E$2:$E$800,E120)&gt;1),"DUPLICATE","")</f>
        <v/>
      </c>
    </row>
    <row r="121">
      <c r="AA121" s="5" t="n"/>
      <c r="AB121" s="5" t="n"/>
      <c r="AC121">
        <f>IF(AND(E121&lt;&gt;"",COUNTIF($E$2:$E$800,E121)&gt;1),"DUPLICATE","")</f>
        <v/>
      </c>
    </row>
    <row r="122">
      <c r="AA122" s="5" t="n"/>
      <c r="AB122" s="5" t="n"/>
      <c r="AC122">
        <f>IF(AND(E122&lt;&gt;"",COUNTIF($E$2:$E$800,E122)&gt;1),"DUPLICATE","")</f>
        <v/>
      </c>
    </row>
    <row r="123">
      <c r="AA123" s="5" t="n"/>
      <c r="AB123" s="5" t="n"/>
      <c r="AC123">
        <f>IF(AND(E123&lt;&gt;"",COUNTIF($E$2:$E$800,E123)&gt;1),"DUPLICATE","")</f>
        <v/>
      </c>
    </row>
    <row r="124">
      <c r="AA124" s="5" t="n"/>
      <c r="AB124" s="5" t="n"/>
      <c r="AC124">
        <f>IF(AND(E124&lt;&gt;"",COUNTIF($E$2:$E$800,E124)&gt;1),"DUPLICATE","")</f>
        <v/>
      </c>
    </row>
    <row r="125">
      <c r="AA125" s="5" t="n"/>
      <c r="AB125" s="5" t="n"/>
      <c r="AC125">
        <f>IF(AND(E125&lt;&gt;"",COUNTIF($E$2:$E$800,E125)&gt;1),"DUPLICATE","")</f>
        <v/>
      </c>
    </row>
    <row r="126">
      <c r="AA126" s="5" t="n"/>
      <c r="AB126" s="5" t="n"/>
      <c r="AC126">
        <f>IF(AND(E126&lt;&gt;"",COUNTIF($E$2:$E$800,E126)&gt;1),"DUPLICATE","")</f>
        <v/>
      </c>
    </row>
    <row r="127">
      <c r="AA127" s="5" t="n"/>
      <c r="AB127" s="5" t="n"/>
      <c r="AC127">
        <f>IF(AND(E127&lt;&gt;"",COUNTIF($E$2:$E$800,E127)&gt;1),"DUPLICATE","")</f>
        <v/>
      </c>
    </row>
    <row r="128">
      <c r="AA128" s="5" t="n"/>
      <c r="AB128" s="5" t="n"/>
      <c r="AC128">
        <f>IF(AND(E128&lt;&gt;"",COUNTIF($E$2:$E$800,E128)&gt;1),"DUPLICATE","")</f>
        <v/>
      </c>
    </row>
    <row r="129">
      <c r="AA129" s="5" t="n"/>
      <c r="AB129" s="5" t="n"/>
      <c r="AC129">
        <f>IF(AND(E129&lt;&gt;"",COUNTIF($E$2:$E$800,E129)&gt;1),"DUPLICATE","")</f>
        <v/>
      </c>
    </row>
    <row r="130">
      <c r="AA130" s="5" t="n"/>
      <c r="AB130" s="5" t="n"/>
      <c r="AC130">
        <f>IF(AND(E130&lt;&gt;"",COUNTIF($E$2:$E$800,E130)&gt;1),"DUPLICATE","")</f>
        <v/>
      </c>
    </row>
    <row r="131">
      <c r="AA131" s="5" t="n"/>
      <c r="AB131" s="5" t="n"/>
      <c r="AC131">
        <f>IF(AND(E131&lt;&gt;"",COUNTIF($E$2:$E$800,E131)&gt;1),"DUPLICATE","")</f>
        <v/>
      </c>
    </row>
    <row r="132">
      <c r="AA132" s="5" t="n"/>
      <c r="AB132" s="5" t="n"/>
      <c r="AC132">
        <f>IF(AND(E132&lt;&gt;"",COUNTIF($E$2:$E$800,E132)&gt;1),"DUPLICATE","")</f>
        <v/>
      </c>
    </row>
    <row r="133">
      <c r="AA133" s="5" t="n"/>
      <c r="AB133" s="5" t="n"/>
      <c r="AC133">
        <f>IF(AND(E133&lt;&gt;"",COUNTIF($E$2:$E$800,E133)&gt;1),"DUPLICATE","")</f>
        <v/>
      </c>
    </row>
    <row r="134">
      <c r="AA134" s="5" t="n"/>
      <c r="AB134" s="5" t="n"/>
      <c r="AC134">
        <f>IF(AND(E134&lt;&gt;"",COUNTIF($E$2:$E$800,E134)&gt;1),"DUPLICATE","")</f>
        <v/>
      </c>
    </row>
    <row r="135">
      <c r="AA135" s="5" t="n"/>
      <c r="AB135" s="5" t="n"/>
      <c r="AC135">
        <f>IF(AND(E135&lt;&gt;"",COUNTIF($E$2:$E$800,E135)&gt;1),"DUPLICATE","")</f>
        <v/>
      </c>
    </row>
    <row r="136">
      <c r="AA136" s="5" t="n"/>
      <c r="AB136" s="5" t="n"/>
      <c r="AC136">
        <f>IF(AND(E136&lt;&gt;"",COUNTIF($E$2:$E$800,E136)&gt;1),"DUPLICATE","")</f>
        <v/>
      </c>
    </row>
    <row r="137">
      <c r="AA137" s="5" t="n"/>
      <c r="AB137" s="5" t="n"/>
      <c r="AC137">
        <f>IF(AND(E137&lt;&gt;"",COUNTIF($E$2:$E$800,E137)&gt;1),"DUPLICATE","")</f>
        <v/>
      </c>
    </row>
    <row r="138">
      <c r="AA138" s="5" t="n"/>
      <c r="AB138" s="5" t="n"/>
      <c r="AC138">
        <f>IF(AND(E138&lt;&gt;"",COUNTIF($E$2:$E$800,E138)&gt;1),"DUPLICATE","")</f>
        <v/>
      </c>
    </row>
    <row r="139">
      <c r="AA139" s="5" t="n"/>
      <c r="AB139" s="5" t="n"/>
      <c r="AC139">
        <f>IF(AND(E139&lt;&gt;"",COUNTIF($E$2:$E$800,E139)&gt;1),"DUPLICATE","")</f>
        <v/>
      </c>
    </row>
    <row r="140">
      <c r="AA140" s="5" t="n"/>
      <c r="AB140" s="5" t="n"/>
      <c r="AC140">
        <f>IF(AND(E140&lt;&gt;"",COUNTIF($E$2:$E$800,E140)&gt;1),"DUPLICATE","")</f>
        <v/>
      </c>
    </row>
    <row r="141">
      <c r="AA141" s="5" t="n"/>
      <c r="AB141" s="5" t="n"/>
      <c r="AC141">
        <f>IF(AND(E141&lt;&gt;"",COUNTIF($E$2:$E$800,E141)&gt;1),"DUPLICATE","")</f>
        <v/>
      </c>
    </row>
    <row r="142">
      <c r="AA142" s="5" t="n"/>
      <c r="AB142" s="5" t="n"/>
      <c r="AC142">
        <f>IF(AND(E142&lt;&gt;"",COUNTIF($E$2:$E$800,E142)&gt;1),"DUPLICATE","")</f>
        <v/>
      </c>
    </row>
    <row r="143">
      <c r="AA143" s="5" t="n"/>
      <c r="AB143" s="5" t="n"/>
      <c r="AC143">
        <f>IF(AND(E143&lt;&gt;"",COUNTIF($E$2:$E$800,E143)&gt;1),"DUPLICATE","")</f>
        <v/>
      </c>
    </row>
    <row r="144">
      <c r="AA144" s="5" t="n"/>
      <c r="AB144" s="5" t="n"/>
      <c r="AC144">
        <f>IF(AND(E144&lt;&gt;"",COUNTIF($E$2:$E$800,E144)&gt;1),"DUPLICATE","")</f>
        <v/>
      </c>
    </row>
    <row r="145">
      <c r="AA145" s="5" t="n"/>
      <c r="AB145" s="5" t="n"/>
      <c r="AC145">
        <f>IF(AND(E145&lt;&gt;"",COUNTIF($E$2:$E$800,E145)&gt;1),"DUPLICATE","")</f>
        <v/>
      </c>
    </row>
    <row r="146">
      <c r="AA146" s="5" t="n"/>
      <c r="AB146" s="5" t="n"/>
      <c r="AC146">
        <f>IF(AND(E146&lt;&gt;"",COUNTIF($E$2:$E$800,E146)&gt;1),"DUPLICATE","")</f>
        <v/>
      </c>
    </row>
    <row r="147">
      <c r="AA147" s="5" t="n"/>
      <c r="AB147" s="5" t="n"/>
      <c r="AC147">
        <f>IF(AND(E147&lt;&gt;"",COUNTIF($E$2:$E$800,E147)&gt;1),"DUPLICATE","")</f>
        <v/>
      </c>
    </row>
    <row r="148">
      <c r="AA148" s="5" t="n"/>
      <c r="AB148" s="5" t="n"/>
      <c r="AC148">
        <f>IF(AND(E148&lt;&gt;"",COUNTIF($E$2:$E$800,E148)&gt;1),"DUPLICATE","")</f>
        <v/>
      </c>
    </row>
    <row r="149">
      <c r="AA149" s="5" t="n"/>
      <c r="AB149" s="5" t="n"/>
      <c r="AC149">
        <f>IF(AND(E149&lt;&gt;"",COUNTIF($E$2:$E$800,E149)&gt;1),"DUPLICATE","")</f>
        <v/>
      </c>
    </row>
    <row r="150">
      <c r="AA150" s="5" t="n"/>
      <c r="AB150" s="5" t="n"/>
      <c r="AC150">
        <f>IF(AND(E150&lt;&gt;"",COUNTIF($E$2:$E$800,E150)&gt;1),"DUPLICATE","")</f>
        <v/>
      </c>
    </row>
    <row r="151">
      <c r="AA151" s="5" t="n"/>
      <c r="AB151" s="5" t="n"/>
      <c r="AC151">
        <f>IF(AND(E151&lt;&gt;"",COUNTIF($E$2:$E$800,E151)&gt;1),"DUPLICATE","")</f>
        <v/>
      </c>
    </row>
    <row r="152">
      <c r="AA152" s="5" t="n"/>
      <c r="AB152" s="5" t="n"/>
      <c r="AC152">
        <f>IF(AND(E152&lt;&gt;"",COUNTIF($E$2:$E$800,E152)&gt;1),"DUPLICATE","")</f>
        <v/>
      </c>
    </row>
    <row r="153">
      <c r="AA153" s="5" t="n"/>
      <c r="AB153" s="5" t="n"/>
      <c r="AC153">
        <f>IF(AND(E153&lt;&gt;"",COUNTIF($E$2:$E$800,E153)&gt;1),"DUPLICATE","")</f>
        <v/>
      </c>
    </row>
    <row r="154">
      <c r="AA154" s="5" t="n"/>
      <c r="AB154" s="5" t="n"/>
      <c r="AC154">
        <f>IF(AND(E154&lt;&gt;"",COUNTIF($E$2:$E$800,E154)&gt;1),"DUPLICATE","")</f>
        <v/>
      </c>
    </row>
    <row r="155">
      <c r="AA155" s="5" t="n"/>
      <c r="AB155" s="5" t="n"/>
      <c r="AC155">
        <f>IF(AND(E155&lt;&gt;"",COUNTIF($E$2:$E$800,E155)&gt;1),"DUPLICATE","")</f>
        <v/>
      </c>
    </row>
    <row r="156">
      <c r="AA156" s="5" t="n"/>
      <c r="AB156" s="5" t="n"/>
      <c r="AC156">
        <f>IF(AND(E156&lt;&gt;"",COUNTIF($E$2:$E$800,E156)&gt;1),"DUPLICATE","")</f>
        <v/>
      </c>
    </row>
    <row r="157">
      <c r="AA157" s="5" t="n"/>
      <c r="AB157" s="5" t="n"/>
      <c r="AC157">
        <f>IF(AND(E157&lt;&gt;"",COUNTIF($E$2:$E$800,E157)&gt;1),"DUPLICATE","")</f>
        <v/>
      </c>
    </row>
    <row r="158">
      <c r="AA158" s="5" t="n"/>
      <c r="AB158" s="5" t="n"/>
      <c r="AC158">
        <f>IF(AND(E158&lt;&gt;"",COUNTIF($E$2:$E$800,E158)&gt;1),"DUPLICATE","")</f>
        <v/>
      </c>
    </row>
    <row r="159">
      <c r="AA159" s="5" t="n"/>
      <c r="AB159" s="5" t="n"/>
      <c r="AC159">
        <f>IF(AND(E159&lt;&gt;"",COUNTIF($E$2:$E$800,E159)&gt;1),"DUPLICATE","")</f>
        <v/>
      </c>
    </row>
    <row r="160">
      <c r="AA160" s="5" t="n"/>
      <c r="AB160" s="5" t="n"/>
      <c r="AC160">
        <f>IF(AND(E160&lt;&gt;"",COUNTIF($E$2:$E$800,E160)&gt;1),"DUPLICATE","")</f>
        <v/>
      </c>
    </row>
    <row r="161">
      <c r="AA161" s="5" t="n"/>
      <c r="AB161" s="5" t="n"/>
      <c r="AC161">
        <f>IF(AND(E161&lt;&gt;"",COUNTIF($E$2:$E$800,E161)&gt;1),"DUPLICATE","")</f>
        <v/>
      </c>
    </row>
    <row r="162">
      <c r="AA162" s="5" t="n"/>
      <c r="AB162" s="5" t="n"/>
      <c r="AC162">
        <f>IF(AND(E162&lt;&gt;"",COUNTIF($E$2:$E$800,E162)&gt;1),"DUPLICATE","")</f>
        <v/>
      </c>
    </row>
    <row r="163">
      <c r="AA163" s="5" t="n"/>
      <c r="AB163" s="5" t="n"/>
      <c r="AC163">
        <f>IF(AND(E163&lt;&gt;"",COUNTIF($E$2:$E$800,E163)&gt;1),"DUPLICATE","")</f>
        <v/>
      </c>
    </row>
    <row r="164">
      <c r="AA164" s="5" t="n"/>
      <c r="AB164" s="5" t="n"/>
      <c r="AC164">
        <f>IF(AND(E164&lt;&gt;"",COUNTIF($E$2:$E$800,E164)&gt;1),"DUPLICATE","")</f>
        <v/>
      </c>
    </row>
    <row r="165">
      <c r="AA165" s="5" t="n"/>
      <c r="AB165" s="5" t="n"/>
      <c r="AC165">
        <f>IF(AND(E165&lt;&gt;"",COUNTIF($E$2:$E$800,E165)&gt;1),"DUPLICATE","")</f>
        <v/>
      </c>
    </row>
    <row r="166">
      <c r="AA166" s="5" t="n"/>
      <c r="AB166" s="5" t="n"/>
      <c r="AC166">
        <f>IF(AND(E166&lt;&gt;"",COUNTIF($E$2:$E$800,E166)&gt;1),"DUPLICATE","")</f>
        <v/>
      </c>
    </row>
    <row r="167">
      <c r="AA167" s="5" t="n"/>
      <c r="AB167" s="5" t="n"/>
      <c r="AC167">
        <f>IF(AND(E167&lt;&gt;"",COUNTIF($E$2:$E$800,E167)&gt;1),"DUPLICATE","")</f>
        <v/>
      </c>
    </row>
    <row r="168">
      <c r="AA168" s="5" t="n"/>
      <c r="AB168" s="5" t="n"/>
      <c r="AC168">
        <f>IF(AND(E168&lt;&gt;"",COUNTIF($E$2:$E$800,E168)&gt;1),"DUPLICATE","")</f>
        <v/>
      </c>
    </row>
    <row r="169">
      <c r="AA169" s="5" t="n"/>
      <c r="AB169" s="5" t="n"/>
      <c r="AC169">
        <f>IF(AND(E169&lt;&gt;"",COUNTIF($E$2:$E$800,E169)&gt;1),"DUPLICATE","")</f>
        <v/>
      </c>
    </row>
    <row r="170">
      <c r="AA170" s="5" t="n"/>
      <c r="AB170" s="5" t="n"/>
      <c r="AC170">
        <f>IF(AND(E170&lt;&gt;"",COUNTIF($E$2:$E$800,E170)&gt;1),"DUPLICATE","")</f>
        <v/>
      </c>
    </row>
    <row r="171">
      <c r="AA171" s="5" t="n"/>
      <c r="AB171" s="5" t="n"/>
      <c r="AC171">
        <f>IF(AND(E171&lt;&gt;"",COUNTIF($E$2:$E$800,E171)&gt;1),"DUPLICATE","")</f>
        <v/>
      </c>
    </row>
    <row r="172">
      <c r="AA172" s="5" t="n"/>
      <c r="AB172" s="5" t="n"/>
      <c r="AC172">
        <f>IF(AND(E172&lt;&gt;"",COUNTIF($E$2:$E$800,E172)&gt;1),"DUPLICATE","")</f>
        <v/>
      </c>
    </row>
    <row r="173">
      <c r="AA173" s="5" t="n"/>
      <c r="AB173" s="5" t="n"/>
      <c r="AC173">
        <f>IF(AND(E173&lt;&gt;"",COUNTIF($E$2:$E$800,E173)&gt;1),"DUPLICATE","")</f>
        <v/>
      </c>
    </row>
    <row r="174">
      <c r="AA174" s="5" t="n"/>
      <c r="AB174" s="5" t="n"/>
      <c r="AC174">
        <f>IF(AND(E174&lt;&gt;"",COUNTIF($E$2:$E$800,E174)&gt;1),"DUPLICATE","")</f>
        <v/>
      </c>
    </row>
    <row r="175">
      <c r="AA175" s="5" t="n"/>
      <c r="AB175" s="5" t="n"/>
      <c r="AC175">
        <f>IF(AND(E175&lt;&gt;"",COUNTIF($E$2:$E$800,E175)&gt;1),"DUPLICATE","")</f>
        <v/>
      </c>
    </row>
    <row r="176">
      <c r="AA176" s="5" t="n"/>
      <c r="AB176" s="5" t="n"/>
      <c r="AC176">
        <f>IF(AND(E176&lt;&gt;"",COUNTIF($E$2:$E$800,E176)&gt;1),"DUPLICATE","")</f>
        <v/>
      </c>
    </row>
    <row r="177">
      <c r="AA177" s="5" t="n"/>
      <c r="AB177" s="5" t="n"/>
      <c r="AC177">
        <f>IF(AND(E177&lt;&gt;"",COUNTIF($E$2:$E$800,E177)&gt;1),"DUPLICATE","")</f>
        <v/>
      </c>
    </row>
    <row r="178">
      <c r="AA178" s="5" t="n"/>
      <c r="AB178" s="5" t="n"/>
      <c r="AC178">
        <f>IF(AND(E178&lt;&gt;"",COUNTIF($E$2:$E$800,E178)&gt;1),"DUPLICATE","")</f>
        <v/>
      </c>
    </row>
    <row r="179">
      <c r="AA179" s="5" t="n"/>
      <c r="AB179" s="5" t="n"/>
      <c r="AC179">
        <f>IF(AND(E179&lt;&gt;"",COUNTIF($E$2:$E$800,E179)&gt;1),"DUPLICATE","")</f>
        <v/>
      </c>
    </row>
    <row r="180">
      <c r="AA180" s="5" t="n"/>
      <c r="AB180" s="5" t="n"/>
      <c r="AC180">
        <f>IF(AND(E180&lt;&gt;"",COUNTIF($E$2:$E$800,E180)&gt;1),"DUPLICATE","")</f>
        <v/>
      </c>
    </row>
    <row r="181">
      <c r="AA181" s="5" t="n"/>
      <c r="AB181" s="5" t="n"/>
      <c r="AC181">
        <f>IF(AND(E181&lt;&gt;"",COUNTIF($E$2:$E$800,E181)&gt;1),"DUPLICATE","")</f>
        <v/>
      </c>
    </row>
    <row r="182">
      <c r="AA182" s="5" t="n"/>
      <c r="AB182" s="5" t="n"/>
      <c r="AC182">
        <f>IF(AND(E182&lt;&gt;"",COUNTIF($E$2:$E$800,E182)&gt;1),"DUPLICATE","")</f>
        <v/>
      </c>
    </row>
    <row r="183">
      <c r="AA183" s="5" t="n"/>
      <c r="AB183" s="5" t="n"/>
      <c r="AC183">
        <f>IF(AND(E183&lt;&gt;"",COUNTIF($E$2:$E$800,E183)&gt;1),"DUPLICATE","")</f>
        <v/>
      </c>
    </row>
    <row r="184">
      <c r="AA184" s="5" t="n"/>
      <c r="AB184" s="5" t="n"/>
      <c r="AC184">
        <f>IF(AND(E184&lt;&gt;"",COUNTIF($E$2:$E$800,E184)&gt;1),"DUPLICATE","")</f>
        <v/>
      </c>
    </row>
    <row r="185">
      <c r="AA185" s="5" t="n"/>
      <c r="AB185" s="5" t="n"/>
      <c r="AC185">
        <f>IF(AND(E185&lt;&gt;"",COUNTIF($E$2:$E$800,E185)&gt;1),"DUPLICATE","")</f>
        <v/>
      </c>
    </row>
    <row r="186">
      <c r="AA186" s="5" t="n"/>
      <c r="AB186" s="5" t="n"/>
      <c r="AC186">
        <f>IF(AND(E186&lt;&gt;"",COUNTIF($E$2:$E$800,E186)&gt;1),"DUPLICATE","")</f>
        <v/>
      </c>
    </row>
    <row r="187">
      <c r="AA187" s="5" t="n"/>
      <c r="AB187" s="5" t="n"/>
      <c r="AC187">
        <f>IF(AND(E187&lt;&gt;"",COUNTIF($E$2:$E$800,E187)&gt;1),"DUPLICATE","")</f>
        <v/>
      </c>
    </row>
    <row r="188">
      <c r="AA188" s="5" t="n"/>
      <c r="AB188" s="5" t="n"/>
      <c r="AC188">
        <f>IF(AND(E188&lt;&gt;"",COUNTIF($E$2:$E$800,E188)&gt;1),"DUPLICATE","")</f>
        <v/>
      </c>
    </row>
    <row r="189">
      <c r="AA189" s="5" t="n"/>
      <c r="AB189" s="5" t="n"/>
      <c r="AC189">
        <f>IF(AND(E189&lt;&gt;"",COUNTIF($E$2:$E$800,E189)&gt;1),"DUPLICATE","")</f>
        <v/>
      </c>
    </row>
    <row r="190">
      <c r="AA190" s="5" t="n"/>
      <c r="AB190" s="5" t="n"/>
      <c r="AC190">
        <f>IF(AND(E190&lt;&gt;"",COUNTIF($E$2:$E$800,E190)&gt;1),"DUPLICATE","")</f>
        <v/>
      </c>
    </row>
    <row r="191">
      <c r="AA191" s="5" t="n"/>
      <c r="AB191" s="5" t="n"/>
      <c r="AC191">
        <f>IF(AND(E191&lt;&gt;"",COUNTIF($E$2:$E$800,E191)&gt;1),"DUPLICATE","")</f>
        <v/>
      </c>
    </row>
    <row r="192">
      <c r="AA192" s="5" t="n"/>
      <c r="AB192" s="5" t="n"/>
      <c r="AC192">
        <f>IF(AND(E192&lt;&gt;"",COUNTIF($E$2:$E$800,E192)&gt;1),"DUPLICATE","")</f>
        <v/>
      </c>
    </row>
    <row r="193">
      <c r="AA193" s="5" t="n"/>
      <c r="AB193" s="5" t="n"/>
      <c r="AC193">
        <f>IF(AND(E193&lt;&gt;"",COUNTIF($E$2:$E$800,E193)&gt;1),"DUPLICATE","")</f>
        <v/>
      </c>
    </row>
    <row r="194">
      <c r="AA194" s="5" t="n"/>
      <c r="AB194" s="5" t="n"/>
      <c r="AC194">
        <f>IF(AND(E194&lt;&gt;"",COUNTIF($E$2:$E$800,E194)&gt;1),"DUPLICATE","")</f>
        <v/>
      </c>
    </row>
    <row r="195">
      <c r="AA195" s="5" t="n"/>
      <c r="AB195" s="5" t="n"/>
      <c r="AC195">
        <f>IF(AND(E195&lt;&gt;"",COUNTIF($E$2:$E$800,E195)&gt;1),"DUPLICATE","")</f>
        <v/>
      </c>
    </row>
    <row r="196">
      <c r="AA196" s="5" t="n"/>
      <c r="AB196" s="5" t="n"/>
      <c r="AC196">
        <f>IF(AND(E196&lt;&gt;"",COUNTIF($E$2:$E$800,E196)&gt;1),"DUPLICATE","")</f>
        <v/>
      </c>
    </row>
    <row r="197">
      <c r="AA197" s="5" t="n"/>
      <c r="AB197" s="5" t="n"/>
      <c r="AC197">
        <f>IF(AND(E197&lt;&gt;"",COUNTIF($E$2:$E$800,E197)&gt;1),"DUPLICATE","")</f>
        <v/>
      </c>
    </row>
    <row r="198">
      <c r="AA198" s="5" t="n"/>
      <c r="AB198" s="5" t="n"/>
      <c r="AC198">
        <f>IF(AND(E198&lt;&gt;"",COUNTIF($E$2:$E$800,E198)&gt;1),"DUPLICATE","")</f>
        <v/>
      </c>
    </row>
    <row r="199">
      <c r="AA199" s="5" t="n"/>
      <c r="AB199" s="5" t="n"/>
      <c r="AC199">
        <f>IF(AND(E199&lt;&gt;"",COUNTIF($E$2:$E$800,E199)&gt;1),"DUPLICATE","")</f>
        <v/>
      </c>
    </row>
    <row r="200">
      <c r="AA200" s="5" t="n"/>
      <c r="AB200" s="5" t="n"/>
      <c r="AC200">
        <f>IF(AND(E200&lt;&gt;"",COUNTIF($E$2:$E$800,E200)&gt;1),"DUPLICATE","")</f>
        <v/>
      </c>
    </row>
    <row r="201">
      <c r="AA201" s="5" t="n"/>
      <c r="AB201" s="5" t="n"/>
      <c r="AC201">
        <f>IF(AND(E201&lt;&gt;"",COUNTIF($E$2:$E$800,E201)&gt;1),"DUPLICATE","")</f>
        <v/>
      </c>
    </row>
    <row r="202">
      <c r="AA202" s="5" t="n"/>
      <c r="AB202" s="5" t="n"/>
      <c r="AC202">
        <f>IF(AND(E202&lt;&gt;"",COUNTIF($E$2:$E$800,E202)&gt;1),"DUPLICATE","")</f>
        <v/>
      </c>
    </row>
    <row r="203">
      <c r="AA203" s="5" t="n"/>
      <c r="AB203" s="5" t="n"/>
      <c r="AC203">
        <f>IF(AND(E203&lt;&gt;"",COUNTIF($E$2:$E$800,E203)&gt;1),"DUPLICATE","")</f>
        <v/>
      </c>
    </row>
    <row r="204">
      <c r="AA204" s="5" t="n"/>
      <c r="AB204" s="5" t="n"/>
      <c r="AC204">
        <f>IF(AND(E204&lt;&gt;"",COUNTIF($E$2:$E$800,E204)&gt;1),"DUPLICATE","")</f>
        <v/>
      </c>
    </row>
    <row r="205">
      <c r="AA205" s="5" t="n"/>
      <c r="AB205" s="5" t="n"/>
      <c r="AC205">
        <f>IF(AND(E205&lt;&gt;"",COUNTIF($E$2:$E$800,E205)&gt;1),"DUPLICATE","")</f>
        <v/>
      </c>
    </row>
    <row r="206">
      <c r="AA206" s="5" t="n"/>
      <c r="AB206" s="5" t="n"/>
      <c r="AC206">
        <f>IF(AND(E206&lt;&gt;"",COUNTIF($E$2:$E$800,E206)&gt;1),"DUPLICATE","")</f>
        <v/>
      </c>
    </row>
    <row r="207">
      <c r="AA207" s="5" t="n"/>
      <c r="AB207" s="5" t="n"/>
      <c r="AC207">
        <f>IF(AND(E207&lt;&gt;"",COUNTIF($E$2:$E$800,E207)&gt;1),"DUPLICATE","")</f>
        <v/>
      </c>
    </row>
    <row r="208">
      <c r="AA208" s="5" t="n"/>
      <c r="AB208" s="5" t="n"/>
      <c r="AC208">
        <f>IF(AND(E208&lt;&gt;"",COUNTIF($E$2:$E$800,E208)&gt;1),"DUPLICATE","")</f>
        <v/>
      </c>
    </row>
    <row r="209">
      <c r="AA209" s="5" t="n"/>
      <c r="AB209" s="5" t="n"/>
      <c r="AC209">
        <f>IF(AND(E209&lt;&gt;"",COUNTIF($E$2:$E$800,E209)&gt;1),"DUPLICATE","")</f>
        <v/>
      </c>
    </row>
    <row r="210">
      <c r="AA210" s="5" t="n"/>
      <c r="AB210" s="5" t="n"/>
      <c r="AC210">
        <f>IF(AND(E210&lt;&gt;"",COUNTIF($E$2:$E$800,E210)&gt;1),"DUPLICATE","")</f>
        <v/>
      </c>
    </row>
    <row r="211">
      <c r="AA211" s="5" t="n"/>
      <c r="AB211" s="5" t="n"/>
      <c r="AC211">
        <f>IF(AND(E211&lt;&gt;"",COUNTIF($E$2:$E$800,E211)&gt;1),"DUPLICATE","")</f>
        <v/>
      </c>
    </row>
    <row r="212">
      <c r="AA212" s="5" t="n"/>
      <c r="AB212" s="5" t="n"/>
      <c r="AC212">
        <f>IF(AND(E212&lt;&gt;"",COUNTIF($E$2:$E$800,E212)&gt;1),"DUPLICATE","")</f>
        <v/>
      </c>
    </row>
    <row r="213">
      <c r="AA213" s="5" t="n"/>
      <c r="AB213" s="5" t="n"/>
      <c r="AC213">
        <f>IF(AND(E213&lt;&gt;"",COUNTIF($E$2:$E$800,E213)&gt;1),"DUPLICATE","")</f>
        <v/>
      </c>
    </row>
    <row r="214">
      <c r="AA214" s="5" t="n"/>
      <c r="AB214" s="5" t="n"/>
      <c r="AC214">
        <f>IF(AND(E214&lt;&gt;"",COUNTIF($E$2:$E$800,E214)&gt;1),"DUPLICATE","")</f>
        <v/>
      </c>
    </row>
    <row r="215">
      <c r="AA215" s="5" t="n"/>
      <c r="AB215" s="5" t="n"/>
      <c r="AC215">
        <f>IF(AND(E215&lt;&gt;"",COUNTIF($E$2:$E$800,E215)&gt;1),"DUPLICATE","")</f>
        <v/>
      </c>
    </row>
    <row r="216">
      <c r="AA216" s="5" t="n"/>
      <c r="AB216" s="5" t="n"/>
      <c r="AC216">
        <f>IF(AND(E216&lt;&gt;"",COUNTIF($E$2:$E$800,E216)&gt;1),"DUPLICATE","")</f>
        <v/>
      </c>
    </row>
    <row r="217">
      <c r="AA217" s="5" t="n"/>
      <c r="AB217" s="5" t="n"/>
      <c r="AC217">
        <f>IF(AND(E217&lt;&gt;"",COUNTIF($E$2:$E$800,E217)&gt;1),"DUPLICATE","")</f>
        <v/>
      </c>
    </row>
    <row r="218">
      <c r="AA218" s="5" t="n"/>
      <c r="AB218" s="5" t="n"/>
      <c r="AC218">
        <f>IF(AND(E218&lt;&gt;"",COUNTIF($E$2:$E$800,E218)&gt;1),"DUPLICATE","")</f>
        <v/>
      </c>
    </row>
    <row r="219">
      <c r="AA219" s="5" t="n"/>
      <c r="AB219" s="5" t="n"/>
      <c r="AC219">
        <f>IF(AND(E219&lt;&gt;"",COUNTIF($E$2:$E$800,E219)&gt;1),"DUPLICATE","")</f>
        <v/>
      </c>
    </row>
    <row r="220">
      <c r="AA220" s="5" t="n"/>
      <c r="AB220" s="5" t="n"/>
      <c r="AC220">
        <f>IF(AND(E220&lt;&gt;"",COUNTIF($E$2:$E$800,E220)&gt;1),"DUPLICATE","")</f>
        <v/>
      </c>
    </row>
    <row r="221">
      <c r="AA221" s="5" t="n"/>
      <c r="AB221" s="5" t="n"/>
      <c r="AC221">
        <f>IF(AND(E221&lt;&gt;"",COUNTIF($E$2:$E$800,E221)&gt;1),"DUPLICATE","")</f>
        <v/>
      </c>
    </row>
    <row r="222">
      <c r="AA222" s="5" t="n"/>
      <c r="AB222" s="5" t="n"/>
      <c r="AC222">
        <f>IF(AND(E222&lt;&gt;"",COUNTIF($E$2:$E$800,E222)&gt;1),"DUPLICATE","")</f>
        <v/>
      </c>
    </row>
    <row r="223">
      <c r="AA223" s="5" t="n"/>
      <c r="AB223" s="5" t="n"/>
      <c r="AC223">
        <f>IF(AND(E223&lt;&gt;"",COUNTIF($E$2:$E$800,E223)&gt;1),"DUPLICATE","")</f>
        <v/>
      </c>
    </row>
    <row r="224">
      <c r="AA224" s="5" t="n"/>
      <c r="AB224" s="5" t="n"/>
      <c r="AC224">
        <f>IF(AND(E224&lt;&gt;"",COUNTIF($E$2:$E$800,E224)&gt;1),"DUPLICATE","")</f>
        <v/>
      </c>
    </row>
    <row r="225">
      <c r="AA225" s="5" t="n"/>
      <c r="AB225" s="5" t="n"/>
      <c r="AC225">
        <f>IF(AND(E225&lt;&gt;"",COUNTIF($E$2:$E$800,E225)&gt;1),"DUPLICATE","")</f>
        <v/>
      </c>
    </row>
    <row r="226">
      <c r="AA226" s="5" t="n"/>
      <c r="AB226" s="5" t="n"/>
      <c r="AC226">
        <f>IF(AND(E226&lt;&gt;"",COUNTIF($E$2:$E$800,E226)&gt;1),"DUPLICATE","")</f>
        <v/>
      </c>
    </row>
    <row r="227">
      <c r="AA227" s="5" t="n"/>
      <c r="AB227" s="5" t="n"/>
      <c r="AC227">
        <f>IF(AND(E227&lt;&gt;"",COUNTIF($E$2:$E$800,E227)&gt;1),"DUPLICATE","")</f>
        <v/>
      </c>
    </row>
    <row r="228">
      <c r="AA228" s="5" t="n"/>
      <c r="AB228" s="5" t="n"/>
      <c r="AC228">
        <f>IF(AND(E228&lt;&gt;"",COUNTIF($E$2:$E$800,E228)&gt;1),"DUPLICATE","")</f>
        <v/>
      </c>
    </row>
    <row r="229">
      <c r="AA229" s="5" t="n"/>
      <c r="AB229" s="5" t="n"/>
      <c r="AC229">
        <f>IF(AND(E229&lt;&gt;"",COUNTIF($E$2:$E$800,E229)&gt;1),"DUPLICATE","")</f>
        <v/>
      </c>
    </row>
    <row r="230">
      <c r="AA230" s="5" t="n"/>
      <c r="AB230" s="5" t="n"/>
      <c r="AC230">
        <f>IF(AND(E230&lt;&gt;"",COUNTIF($E$2:$E$800,E230)&gt;1),"DUPLICATE","")</f>
        <v/>
      </c>
    </row>
    <row r="231">
      <c r="AA231" s="5" t="n"/>
      <c r="AB231" s="5" t="n"/>
      <c r="AC231">
        <f>IF(AND(E231&lt;&gt;"",COUNTIF($E$2:$E$800,E231)&gt;1),"DUPLICATE","")</f>
        <v/>
      </c>
    </row>
    <row r="232">
      <c r="AA232" s="5" t="n"/>
      <c r="AB232" s="5" t="n"/>
      <c r="AC232">
        <f>IF(AND(E232&lt;&gt;"",COUNTIF($E$2:$E$800,E232)&gt;1),"DUPLICATE","")</f>
        <v/>
      </c>
    </row>
    <row r="233">
      <c r="AA233" s="5" t="n"/>
      <c r="AB233" s="5" t="n"/>
      <c r="AC233">
        <f>IF(AND(E233&lt;&gt;"",COUNTIF($E$2:$E$800,E233)&gt;1),"DUPLICATE","")</f>
        <v/>
      </c>
    </row>
    <row r="234">
      <c r="AA234" s="5" t="n"/>
      <c r="AB234" s="5" t="n"/>
      <c r="AC234">
        <f>IF(AND(E234&lt;&gt;"",COUNTIF($E$2:$E$800,E234)&gt;1),"DUPLICATE","")</f>
        <v/>
      </c>
    </row>
    <row r="235">
      <c r="AA235" s="5" t="n"/>
      <c r="AB235" s="5" t="n"/>
      <c r="AC235">
        <f>IF(AND(E235&lt;&gt;"",COUNTIF($E$2:$E$800,E235)&gt;1),"DUPLICATE","")</f>
        <v/>
      </c>
    </row>
    <row r="236">
      <c r="AA236" s="5" t="n"/>
      <c r="AB236" s="5" t="n"/>
      <c r="AC236">
        <f>IF(AND(E236&lt;&gt;"",COUNTIF($E$2:$E$800,E236)&gt;1),"DUPLICATE","")</f>
        <v/>
      </c>
    </row>
    <row r="237">
      <c r="AA237" s="5" t="n"/>
      <c r="AB237" s="5" t="n"/>
      <c r="AC237">
        <f>IF(AND(E237&lt;&gt;"",COUNTIF($E$2:$E$800,E237)&gt;1),"DUPLICATE","")</f>
        <v/>
      </c>
    </row>
    <row r="238">
      <c r="AA238" s="5" t="n"/>
      <c r="AB238" s="5" t="n"/>
      <c r="AC238">
        <f>IF(AND(E238&lt;&gt;"",COUNTIF($E$2:$E$800,E238)&gt;1),"DUPLICATE","")</f>
        <v/>
      </c>
    </row>
    <row r="239">
      <c r="AA239" s="5" t="n"/>
      <c r="AB239" s="5" t="n"/>
      <c r="AC239">
        <f>IF(AND(E239&lt;&gt;"",COUNTIF($E$2:$E$800,E239)&gt;1),"DUPLICATE","")</f>
        <v/>
      </c>
    </row>
    <row r="240">
      <c r="AA240" s="5" t="n"/>
      <c r="AB240" s="5" t="n"/>
      <c r="AC240">
        <f>IF(AND(E240&lt;&gt;"",COUNTIF($E$2:$E$800,E240)&gt;1),"DUPLICATE","")</f>
        <v/>
      </c>
    </row>
    <row r="241">
      <c r="AA241" s="5" t="n"/>
      <c r="AB241" s="5" t="n"/>
      <c r="AC241">
        <f>IF(AND(E241&lt;&gt;"",COUNTIF($E$2:$E$800,E241)&gt;1),"DUPLICATE","")</f>
        <v/>
      </c>
    </row>
    <row r="242">
      <c r="AA242" s="5" t="n"/>
      <c r="AB242" s="5" t="n"/>
      <c r="AC242">
        <f>IF(AND(E242&lt;&gt;"",COUNTIF($E$2:$E$800,E242)&gt;1),"DUPLICATE","")</f>
        <v/>
      </c>
    </row>
    <row r="243">
      <c r="AA243" s="5" t="n"/>
      <c r="AB243" s="5" t="n"/>
      <c r="AC243">
        <f>IF(AND(E243&lt;&gt;"",COUNTIF($E$2:$E$800,E243)&gt;1),"DUPLICATE","")</f>
        <v/>
      </c>
    </row>
    <row r="244">
      <c r="AA244" s="5" t="n"/>
      <c r="AB244" s="5" t="n"/>
      <c r="AC244">
        <f>IF(AND(E244&lt;&gt;"",COUNTIF($E$2:$E$800,E244)&gt;1),"DUPLICATE","")</f>
        <v/>
      </c>
    </row>
    <row r="245">
      <c r="AA245" s="5" t="n"/>
      <c r="AB245" s="5" t="n"/>
      <c r="AC245">
        <f>IF(AND(E245&lt;&gt;"",COUNTIF($E$2:$E$800,E245)&gt;1),"DUPLICATE","")</f>
        <v/>
      </c>
    </row>
    <row r="246">
      <c r="AA246" s="5" t="n"/>
      <c r="AB246" s="5" t="n"/>
      <c r="AC246">
        <f>IF(AND(E246&lt;&gt;"",COUNTIF($E$2:$E$800,E246)&gt;1),"DUPLICATE","")</f>
        <v/>
      </c>
    </row>
    <row r="247">
      <c r="AA247" s="5" t="n"/>
      <c r="AB247" s="5" t="n"/>
      <c r="AC247">
        <f>IF(AND(E247&lt;&gt;"",COUNTIF($E$2:$E$800,E247)&gt;1),"DUPLICATE","")</f>
        <v/>
      </c>
    </row>
    <row r="248">
      <c r="AA248" s="5" t="n"/>
      <c r="AB248" s="5" t="n"/>
      <c r="AC248">
        <f>IF(AND(E248&lt;&gt;"",COUNTIF($E$2:$E$800,E248)&gt;1),"DUPLICATE","")</f>
        <v/>
      </c>
    </row>
    <row r="249">
      <c r="AA249" s="5" t="n"/>
      <c r="AB249" s="5" t="n"/>
      <c r="AC249">
        <f>IF(AND(E249&lt;&gt;"",COUNTIF($E$2:$E$800,E249)&gt;1),"DUPLICATE","")</f>
        <v/>
      </c>
    </row>
    <row r="250">
      <c r="AA250" s="5" t="n"/>
      <c r="AB250" s="5" t="n"/>
      <c r="AC250">
        <f>IF(AND(E250&lt;&gt;"",COUNTIF($E$2:$E$800,E250)&gt;1),"DUPLICATE","")</f>
        <v/>
      </c>
    </row>
    <row r="251">
      <c r="AA251" s="5" t="n"/>
      <c r="AB251" s="5" t="n"/>
      <c r="AC251">
        <f>IF(AND(E251&lt;&gt;"",COUNTIF($E$2:$E$800,E251)&gt;1),"DUPLICATE","")</f>
        <v/>
      </c>
    </row>
    <row r="252">
      <c r="AA252" s="5" t="n"/>
      <c r="AB252" s="5" t="n"/>
      <c r="AC252">
        <f>IF(AND(E252&lt;&gt;"",COUNTIF($E$2:$E$800,E252)&gt;1),"DUPLICATE","")</f>
        <v/>
      </c>
    </row>
    <row r="253">
      <c r="AA253" s="5" t="n"/>
      <c r="AB253" s="5" t="n"/>
      <c r="AC253">
        <f>IF(AND(E253&lt;&gt;"",COUNTIF($E$2:$E$800,E253)&gt;1),"DUPLICATE","")</f>
        <v/>
      </c>
    </row>
    <row r="254">
      <c r="AA254" s="5" t="n"/>
      <c r="AB254" s="5" t="n"/>
      <c r="AC254">
        <f>IF(AND(E254&lt;&gt;"",COUNTIF($E$2:$E$800,E254)&gt;1),"DUPLICATE","")</f>
        <v/>
      </c>
    </row>
    <row r="255">
      <c r="AA255" s="5" t="n"/>
      <c r="AB255" s="5" t="n"/>
      <c r="AC255">
        <f>IF(AND(E255&lt;&gt;"",COUNTIF($E$2:$E$800,E255)&gt;1),"DUPLICATE","")</f>
        <v/>
      </c>
    </row>
    <row r="256">
      <c r="AA256" s="5" t="n"/>
      <c r="AB256" s="5" t="n"/>
      <c r="AC256">
        <f>IF(AND(E256&lt;&gt;"",COUNTIF($E$2:$E$800,E256)&gt;1),"DUPLICATE","")</f>
        <v/>
      </c>
    </row>
    <row r="257">
      <c r="AA257" s="5" t="n"/>
      <c r="AB257" s="5" t="n"/>
      <c r="AC257">
        <f>IF(AND(E257&lt;&gt;"",COUNTIF($E$2:$E$800,E257)&gt;1),"DUPLICATE","")</f>
        <v/>
      </c>
    </row>
    <row r="258">
      <c r="AA258" s="5" t="n"/>
      <c r="AB258" s="5" t="n"/>
      <c r="AC258">
        <f>IF(AND(E258&lt;&gt;"",COUNTIF($E$2:$E$800,E258)&gt;1),"DUPLICATE","")</f>
        <v/>
      </c>
    </row>
    <row r="259">
      <c r="AA259" s="5" t="n"/>
      <c r="AB259" s="5" t="n"/>
      <c r="AC259">
        <f>IF(AND(E259&lt;&gt;"",COUNTIF($E$2:$E$800,E259)&gt;1),"DUPLICATE","")</f>
        <v/>
      </c>
    </row>
    <row r="260">
      <c r="AA260" s="5" t="n"/>
      <c r="AB260" s="5" t="n"/>
      <c r="AC260">
        <f>IF(AND(E260&lt;&gt;"",COUNTIF($E$2:$E$800,E260)&gt;1),"DUPLICATE","")</f>
        <v/>
      </c>
    </row>
    <row r="261">
      <c r="AA261" s="5" t="n"/>
      <c r="AB261" s="5" t="n"/>
      <c r="AC261">
        <f>IF(AND(E261&lt;&gt;"",COUNTIF($E$2:$E$800,E261)&gt;1),"DUPLICATE","")</f>
        <v/>
      </c>
    </row>
    <row r="262">
      <c r="AA262" s="5" t="n"/>
      <c r="AB262" s="5" t="n"/>
      <c r="AC262">
        <f>IF(AND(E262&lt;&gt;"",COUNTIF($E$2:$E$800,E262)&gt;1),"DUPLICATE","")</f>
        <v/>
      </c>
    </row>
    <row r="263">
      <c r="AA263" s="5" t="n"/>
      <c r="AB263" s="5" t="n"/>
      <c r="AC263">
        <f>IF(AND(E263&lt;&gt;"",COUNTIF($E$2:$E$800,E263)&gt;1),"DUPLICATE","")</f>
        <v/>
      </c>
    </row>
    <row r="264">
      <c r="AA264" s="5" t="n"/>
      <c r="AB264" s="5" t="n"/>
      <c r="AC264">
        <f>IF(AND(E264&lt;&gt;"",COUNTIF($E$2:$E$800,E264)&gt;1),"DUPLICATE","")</f>
        <v/>
      </c>
    </row>
    <row r="265">
      <c r="AA265" s="5" t="n"/>
      <c r="AB265" s="5" t="n"/>
      <c r="AC265">
        <f>IF(AND(E265&lt;&gt;"",COUNTIF($E$2:$E$800,E265)&gt;1),"DUPLICATE","")</f>
        <v/>
      </c>
    </row>
    <row r="266">
      <c r="AA266" s="5" t="n"/>
      <c r="AB266" s="5" t="n"/>
      <c r="AC266">
        <f>IF(AND(E266&lt;&gt;"",COUNTIF($E$2:$E$800,E266)&gt;1),"DUPLICATE","")</f>
        <v/>
      </c>
    </row>
    <row r="267">
      <c r="AA267" s="5" t="n"/>
      <c r="AB267" s="5" t="n"/>
      <c r="AC267">
        <f>IF(AND(E267&lt;&gt;"",COUNTIF($E$2:$E$800,E267)&gt;1),"DUPLICATE","")</f>
        <v/>
      </c>
    </row>
    <row r="268">
      <c r="AA268" s="5" t="n"/>
      <c r="AB268" s="5" t="n"/>
      <c r="AC268">
        <f>IF(AND(E268&lt;&gt;"",COUNTIF($E$2:$E$800,E268)&gt;1),"DUPLICATE","")</f>
        <v/>
      </c>
    </row>
    <row r="269">
      <c r="AA269" s="5" t="n"/>
      <c r="AB269" s="5" t="n"/>
      <c r="AC269">
        <f>IF(AND(E269&lt;&gt;"",COUNTIF($E$2:$E$800,E269)&gt;1),"DUPLICATE","")</f>
        <v/>
      </c>
    </row>
    <row r="270">
      <c r="AA270" s="5" t="n"/>
      <c r="AB270" s="5" t="n"/>
      <c r="AC270">
        <f>IF(AND(E270&lt;&gt;"",COUNTIF($E$2:$E$800,E270)&gt;1),"DUPLICATE","")</f>
        <v/>
      </c>
    </row>
    <row r="271">
      <c r="AA271" s="5" t="n"/>
      <c r="AB271" s="5" t="n"/>
      <c r="AC271">
        <f>IF(AND(E271&lt;&gt;"",COUNTIF($E$2:$E$800,E271)&gt;1),"DUPLICATE","")</f>
        <v/>
      </c>
    </row>
    <row r="272">
      <c r="AA272" s="5" t="n"/>
      <c r="AB272" s="5" t="n"/>
      <c r="AC272">
        <f>IF(AND(E272&lt;&gt;"",COUNTIF($E$2:$E$800,E272)&gt;1),"DUPLICATE","")</f>
        <v/>
      </c>
    </row>
    <row r="273">
      <c r="AA273" s="5" t="n"/>
      <c r="AB273" s="5" t="n"/>
      <c r="AC273">
        <f>IF(AND(E273&lt;&gt;"",COUNTIF($E$2:$E$800,E273)&gt;1),"DUPLICATE","")</f>
        <v/>
      </c>
    </row>
    <row r="274">
      <c r="AA274" s="5" t="n"/>
      <c r="AB274" s="5" t="n"/>
      <c r="AC274">
        <f>IF(AND(E274&lt;&gt;"",COUNTIF($E$2:$E$800,E274)&gt;1),"DUPLICATE","")</f>
        <v/>
      </c>
    </row>
    <row r="275">
      <c r="AA275" s="5" t="n"/>
      <c r="AB275" s="5" t="n"/>
      <c r="AC275">
        <f>IF(AND(E275&lt;&gt;"",COUNTIF($E$2:$E$800,E275)&gt;1),"DUPLICATE","")</f>
        <v/>
      </c>
    </row>
    <row r="276">
      <c r="AA276" s="5" t="n"/>
      <c r="AB276" s="5" t="n"/>
      <c r="AC276">
        <f>IF(AND(E276&lt;&gt;"",COUNTIF($E$2:$E$800,E276)&gt;1),"DUPLICATE","")</f>
        <v/>
      </c>
    </row>
    <row r="277">
      <c r="AA277" s="5" t="n"/>
      <c r="AB277" s="5" t="n"/>
      <c r="AC277">
        <f>IF(AND(E277&lt;&gt;"",COUNTIF($E$2:$E$800,E277)&gt;1),"DUPLICATE","")</f>
        <v/>
      </c>
    </row>
    <row r="278">
      <c r="AA278" s="5" t="n"/>
      <c r="AB278" s="5" t="n"/>
      <c r="AC278">
        <f>IF(AND(E278&lt;&gt;"",COUNTIF($E$2:$E$800,E278)&gt;1),"DUPLICATE","")</f>
        <v/>
      </c>
    </row>
    <row r="279">
      <c r="AA279" s="5" t="n"/>
      <c r="AB279" s="5" t="n"/>
      <c r="AC279">
        <f>IF(AND(E279&lt;&gt;"",COUNTIF($E$2:$E$800,E279)&gt;1),"DUPLICATE","")</f>
        <v/>
      </c>
    </row>
    <row r="280">
      <c r="AA280" s="5" t="n"/>
      <c r="AB280" s="5" t="n"/>
      <c r="AC280">
        <f>IF(AND(E280&lt;&gt;"",COUNTIF($E$2:$E$800,E280)&gt;1),"DUPLICATE","")</f>
        <v/>
      </c>
    </row>
    <row r="281">
      <c r="AA281" s="5" t="n"/>
      <c r="AB281" s="5" t="n"/>
      <c r="AC281">
        <f>IF(AND(E281&lt;&gt;"",COUNTIF($E$2:$E$800,E281)&gt;1),"DUPLICATE","")</f>
        <v/>
      </c>
    </row>
    <row r="282">
      <c r="AA282" s="5" t="n"/>
      <c r="AB282" s="5" t="n"/>
      <c r="AC282">
        <f>IF(AND(E282&lt;&gt;"",COUNTIF($E$2:$E$800,E282)&gt;1),"DUPLICATE","")</f>
        <v/>
      </c>
    </row>
    <row r="283">
      <c r="AA283" s="5" t="n"/>
      <c r="AB283" s="5" t="n"/>
      <c r="AC283">
        <f>IF(AND(E283&lt;&gt;"",COUNTIF($E$2:$E$800,E283)&gt;1),"DUPLICATE","")</f>
        <v/>
      </c>
    </row>
    <row r="284">
      <c r="AA284" s="5" t="n"/>
      <c r="AB284" s="5" t="n"/>
      <c r="AC284">
        <f>IF(AND(E284&lt;&gt;"",COUNTIF($E$2:$E$800,E284)&gt;1),"DUPLICATE","")</f>
        <v/>
      </c>
    </row>
    <row r="285">
      <c r="AA285" s="5" t="n"/>
      <c r="AB285" s="5" t="n"/>
      <c r="AC285">
        <f>IF(AND(E285&lt;&gt;"",COUNTIF($E$2:$E$800,E285)&gt;1),"DUPLICATE","")</f>
        <v/>
      </c>
    </row>
    <row r="286">
      <c r="AA286" s="5" t="n"/>
      <c r="AB286" s="5" t="n"/>
      <c r="AC286">
        <f>IF(AND(E286&lt;&gt;"",COUNTIF($E$2:$E$800,E286)&gt;1),"DUPLICATE","")</f>
        <v/>
      </c>
    </row>
    <row r="287">
      <c r="AA287" s="5" t="n"/>
      <c r="AB287" s="5" t="n"/>
      <c r="AC287">
        <f>IF(AND(E287&lt;&gt;"",COUNTIF($E$2:$E$800,E287)&gt;1),"DUPLICATE","")</f>
        <v/>
      </c>
    </row>
    <row r="288">
      <c r="AA288" s="5" t="n"/>
      <c r="AB288" s="5" t="n"/>
      <c r="AC288">
        <f>IF(AND(E288&lt;&gt;"",COUNTIF($E$2:$E$800,E288)&gt;1),"DUPLICATE","")</f>
        <v/>
      </c>
    </row>
    <row r="289">
      <c r="AA289" s="5" t="n"/>
      <c r="AB289" s="5" t="n"/>
      <c r="AC289">
        <f>IF(AND(E289&lt;&gt;"",COUNTIF($E$2:$E$800,E289)&gt;1),"DUPLICATE","")</f>
        <v/>
      </c>
    </row>
    <row r="290">
      <c r="AA290" s="5" t="n"/>
      <c r="AB290" s="5" t="n"/>
      <c r="AC290">
        <f>IF(AND(E290&lt;&gt;"",COUNTIF($E$2:$E$800,E290)&gt;1),"DUPLICATE","")</f>
        <v/>
      </c>
    </row>
    <row r="291">
      <c r="AA291" s="5" t="n"/>
      <c r="AB291" s="5" t="n"/>
      <c r="AC291">
        <f>IF(AND(E291&lt;&gt;"",COUNTIF($E$2:$E$800,E291)&gt;1),"DUPLICATE","")</f>
        <v/>
      </c>
    </row>
    <row r="292">
      <c r="AA292" s="5" t="n"/>
      <c r="AB292" s="5" t="n"/>
      <c r="AC292">
        <f>IF(AND(E292&lt;&gt;"",COUNTIF($E$2:$E$800,E292)&gt;1),"DUPLICATE","")</f>
        <v/>
      </c>
    </row>
    <row r="293">
      <c r="AA293" s="5" t="n"/>
      <c r="AB293" s="5" t="n"/>
      <c r="AC293">
        <f>IF(AND(E293&lt;&gt;"",COUNTIF($E$2:$E$800,E293)&gt;1),"DUPLICATE","")</f>
        <v/>
      </c>
    </row>
    <row r="294">
      <c r="AA294" s="5" t="n"/>
      <c r="AB294" s="5" t="n"/>
      <c r="AC294">
        <f>IF(AND(E294&lt;&gt;"",COUNTIF($E$2:$E$800,E294)&gt;1),"DUPLICATE","")</f>
        <v/>
      </c>
    </row>
    <row r="295">
      <c r="AA295" s="5" t="n"/>
      <c r="AB295" s="5" t="n"/>
      <c r="AC295">
        <f>IF(AND(E295&lt;&gt;"",COUNTIF($E$2:$E$800,E295)&gt;1),"DUPLICATE","")</f>
        <v/>
      </c>
    </row>
    <row r="296">
      <c r="AA296" s="5" t="n"/>
      <c r="AB296" s="5" t="n"/>
      <c r="AC296">
        <f>IF(AND(E296&lt;&gt;"",COUNTIF($E$2:$E$800,E296)&gt;1),"DUPLICATE","")</f>
        <v/>
      </c>
    </row>
    <row r="297">
      <c r="AA297" s="5" t="n"/>
      <c r="AB297" s="5" t="n"/>
      <c r="AC297">
        <f>IF(AND(E297&lt;&gt;"",COUNTIF($E$2:$E$800,E297)&gt;1),"DUPLICATE","")</f>
        <v/>
      </c>
    </row>
    <row r="298">
      <c r="AA298" s="5" t="n"/>
      <c r="AB298" s="5" t="n"/>
      <c r="AC298">
        <f>IF(AND(E298&lt;&gt;"",COUNTIF($E$2:$E$800,E298)&gt;1),"DUPLICATE","")</f>
        <v/>
      </c>
    </row>
    <row r="299">
      <c r="AA299" s="5" t="n"/>
      <c r="AB299" s="5" t="n"/>
      <c r="AC299">
        <f>IF(AND(E299&lt;&gt;"",COUNTIF($E$2:$E$800,E299)&gt;1),"DUPLICATE","")</f>
        <v/>
      </c>
    </row>
    <row r="300">
      <c r="AA300" s="5" t="n"/>
      <c r="AB300" s="5" t="n"/>
      <c r="AC300">
        <f>IF(AND(E300&lt;&gt;"",COUNTIF($E$2:$E$800,E300)&gt;1),"DUPLICATE","")</f>
        <v/>
      </c>
    </row>
    <row r="301">
      <c r="AA301" s="5" t="n"/>
      <c r="AB301" s="5" t="n"/>
      <c r="AC301">
        <f>IF(AND(E301&lt;&gt;"",COUNTIF($E$2:$E$800,E301)&gt;1),"DUPLICATE","")</f>
        <v/>
      </c>
    </row>
    <row r="302">
      <c r="AA302" s="5" t="n"/>
      <c r="AB302" s="5" t="n"/>
      <c r="AC302">
        <f>IF(AND(E302&lt;&gt;"",COUNTIF($E$2:$E$800,E302)&gt;1),"DUPLICATE","")</f>
        <v/>
      </c>
    </row>
    <row r="303">
      <c r="AA303" s="5" t="n"/>
      <c r="AB303" s="5" t="n"/>
      <c r="AC303">
        <f>IF(AND(E303&lt;&gt;"",COUNTIF($E$2:$E$800,E303)&gt;1),"DUPLICATE","")</f>
        <v/>
      </c>
    </row>
    <row r="304">
      <c r="AA304" s="5" t="n"/>
      <c r="AB304" s="5" t="n"/>
      <c r="AC304">
        <f>IF(AND(E304&lt;&gt;"",COUNTIF($E$2:$E$800,E304)&gt;1),"DUPLICATE","")</f>
        <v/>
      </c>
    </row>
    <row r="305">
      <c r="AA305" s="5" t="n"/>
      <c r="AB305" s="5" t="n"/>
      <c r="AC305">
        <f>IF(AND(E305&lt;&gt;"",COUNTIF($E$2:$E$800,E305)&gt;1),"DUPLICATE","")</f>
        <v/>
      </c>
    </row>
    <row r="306">
      <c r="AA306" s="5" t="n"/>
      <c r="AB306" s="5" t="n"/>
      <c r="AC306">
        <f>IF(AND(E306&lt;&gt;"",COUNTIF($E$2:$E$800,E306)&gt;1),"DUPLICATE","")</f>
        <v/>
      </c>
    </row>
    <row r="307">
      <c r="AA307" s="5" t="n"/>
      <c r="AB307" s="5" t="n"/>
      <c r="AC307">
        <f>IF(AND(E307&lt;&gt;"",COUNTIF($E$2:$E$800,E307)&gt;1),"DUPLICATE","")</f>
        <v/>
      </c>
    </row>
    <row r="308">
      <c r="AA308" s="5" t="n"/>
      <c r="AB308" s="5" t="n"/>
      <c r="AC308">
        <f>IF(AND(E308&lt;&gt;"",COUNTIF($E$2:$E$800,E308)&gt;1),"DUPLICATE","")</f>
        <v/>
      </c>
    </row>
    <row r="309">
      <c r="AA309" s="5" t="n"/>
      <c r="AB309" s="5" t="n"/>
      <c r="AC309">
        <f>IF(AND(E309&lt;&gt;"",COUNTIF($E$2:$E$800,E309)&gt;1),"DUPLICATE","")</f>
        <v/>
      </c>
    </row>
    <row r="310">
      <c r="AA310" s="5" t="n"/>
      <c r="AB310" s="5" t="n"/>
      <c r="AC310">
        <f>IF(AND(E310&lt;&gt;"",COUNTIF($E$2:$E$800,E310)&gt;1),"DUPLICATE","")</f>
        <v/>
      </c>
    </row>
    <row r="311">
      <c r="AA311" s="5" t="n"/>
      <c r="AB311" s="5" t="n"/>
      <c r="AC311">
        <f>IF(AND(E311&lt;&gt;"",COUNTIF($E$2:$E$800,E311)&gt;1),"DUPLICATE","")</f>
        <v/>
      </c>
    </row>
    <row r="312">
      <c r="AA312" s="5" t="n"/>
      <c r="AB312" s="5" t="n"/>
      <c r="AC312">
        <f>IF(AND(E312&lt;&gt;"",COUNTIF($E$2:$E$800,E312)&gt;1),"DUPLICATE","")</f>
        <v/>
      </c>
    </row>
    <row r="313">
      <c r="AA313" s="5" t="n"/>
      <c r="AB313" s="5" t="n"/>
      <c r="AC313">
        <f>IF(AND(E313&lt;&gt;"",COUNTIF($E$2:$E$800,E313)&gt;1),"DUPLICATE","")</f>
        <v/>
      </c>
    </row>
    <row r="314">
      <c r="AA314" s="5" t="n"/>
      <c r="AB314" s="5" t="n"/>
      <c r="AC314">
        <f>IF(AND(E314&lt;&gt;"",COUNTIF($E$2:$E$800,E314)&gt;1),"DUPLICATE","")</f>
        <v/>
      </c>
    </row>
    <row r="315">
      <c r="AA315" s="5" t="n"/>
      <c r="AB315" s="5" t="n"/>
      <c r="AC315">
        <f>IF(AND(E315&lt;&gt;"",COUNTIF($E$2:$E$800,E315)&gt;1),"DUPLICATE","")</f>
        <v/>
      </c>
    </row>
    <row r="316">
      <c r="AA316" s="5" t="n"/>
      <c r="AB316" s="5" t="n"/>
      <c r="AC316">
        <f>IF(AND(E316&lt;&gt;"",COUNTIF($E$2:$E$800,E316)&gt;1),"DUPLICATE","")</f>
        <v/>
      </c>
    </row>
    <row r="317">
      <c r="AA317" s="5" t="n"/>
      <c r="AB317" s="5" t="n"/>
      <c r="AC317">
        <f>IF(AND(E317&lt;&gt;"",COUNTIF($E$2:$E$800,E317)&gt;1),"DUPLICATE","")</f>
        <v/>
      </c>
    </row>
    <row r="318">
      <c r="AA318" s="5" t="n"/>
      <c r="AB318" s="5" t="n"/>
      <c r="AC318">
        <f>IF(AND(E318&lt;&gt;"",COUNTIF($E$2:$E$800,E318)&gt;1),"DUPLICATE","")</f>
        <v/>
      </c>
    </row>
    <row r="319">
      <c r="AA319" s="5" t="n"/>
      <c r="AB319" s="5" t="n"/>
      <c r="AC319">
        <f>IF(AND(E319&lt;&gt;"",COUNTIF($E$2:$E$800,E319)&gt;1),"DUPLICATE","")</f>
        <v/>
      </c>
    </row>
    <row r="320">
      <c r="AA320" s="5" t="n"/>
      <c r="AB320" s="5" t="n"/>
      <c r="AC320">
        <f>IF(AND(E320&lt;&gt;"",COUNTIF($E$2:$E$800,E320)&gt;1),"DUPLICATE","")</f>
        <v/>
      </c>
    </row>
    <row r="321">
      <c r="AA321" s="5" t="n"/>
      <c r="AB321" s="5" t="n"/>
      <c r="AC321">
        <f>IF(AND(E321&lt;&gt;"",COUNTIF($E$2:$E$800,E321)&gt;1),"DUPLICATE","")</f>
        <v/>
      </c>
    </row>
    <row r="322">
      <c r="AA322" s="5" t="n"/>
      <c r="AB322" s="5" t="n"/>
      <c r="AC322">
        <f>IF(AND(E322&lt;&gt;"",COUNTIF($E$2:$E$800,E322)&gt;1),"DUPLICATE","")</f>
        <v/>
      </c>
    </row>
    <row r="323">
      <c r="AA323" s="5" t="n"/>
      <c r="AB323" s="5" t="n"/>
      <c r="AC323">
        <f>IF(AND(E323&lt;&gt;"",COUNTIF($E$2:$E$800,E323)&gt;1),"DUPLICATE","")</f>
        <v/>
      </c>
    </row>
    <row r="324">
      <c r="AA324" s="5" t="n"/>
      <c r="AB324" s="5" t="n"/>
      <c r="AC324">
        <f>IF(AND(E324&lt;&gt;"",COUNTIF($E$2:$E$800,E324)&gt;1),"DUPLICATE","")</f>
        <v/>
      </c>
    </row>
    <row r="325">
      <c r="AA325" s="5" t="n"/>
      <c r="AB325" s="5" t="n"/>
      <c r="AC325">
        <f>IF(AND(E325&lt;&gt;"",COUNTIF($E$2:$E$800,E325)&gt;1),"DUPLICATE","")</f>
        <v/>
      </c>
    </row>
    <row r="326">
      <c r="AA326" s="5" t="n"/>
      <c r="AB326" s="5" t="n"/>
      <c r="AC326">
        <f>IF(AND(E326&lt;&gt;"",COUNTIF($E$2:$E$800,E326)&gt;1),"DUPLICATE","")</f>
        <v/>
      </c>
    </row>
    <row r="327">
      <c r="AA327" s="5" t="n"/>
      <c r="AB327" s="5" t="n"/>
      <c r="AC327">
        <f>IF(AND(E327&lt;&gt;"",COUNTIF($E$2:$E$800,E327)&gt;1),"DUPLICATE","")</f>
        <v/>
      </c>
    </row>
    <row r="328">
      <c r="AA328" s="5" t="n"/>
      <c r="AB328" s="5" t="n"/>
      <c r="AC328">
        <f>IF(AND(E328&lt;&gt;"",COUNTIF($E$2:$E$800,E328)&gt;1),"DUPLICATE","")</f>
        <v/>
      </c>
    </row>
    <row r="329">
      <c r="AA329" s="5" t="n"/>
      <c r="AB329" s="5" t="n"/>
      <c r="AC329">
        <f>IF(AND(E329&lt;&gt;"",COUNTIF($E$2:$E$800,E329)&gt;1),"DUPLICATE","")</f>
        <v/>
      </c>
    </row>
    <row r="330">
      <c r="AA330" s="5" t="n"/>
      <c r="AB330" s="5" t="n"/>
      <c r="AC330">
        <f>IF(AND(E330&lt;&gt;"",COUNTIF($E$2:$E$800,E330)&gt;1),"DUPLICATE","")</f>
        <v/>
      </c>
    </row>
    <row r="331">
      <c r="AA331" s="5" t="n"/>
      <c r="AB331" s="5" t="n"/>
      <c r="AC331">
        <f>IF(AND(E331&lt;&gt;"",COUNTIF($E$2:$E$800,E331)&gt;1),"DUPLICATE","")</f>
        <v/>
      </c>
    </row>
    <row r="332">
      <c r="AA332" s="5" t="n"/>
      <c r="AB332" s="5" t="n"/>
      <c r="AC332">
        <f>IF(AND(E332&lt;&gt;"",COUNTIF($E$2:$E$800,E332)&gt;1),"DUPLICATE","")</f>
        <v/>
      </c>
    </row>
    <row r="333">
      <c r="AA333" s="5" t="n"/>
      <c r="AB333" s="5" t="n"/>
      <c r="AC333">
        <f>IF(AND(E333&lt;&gt;"",COUNTIF($E$2:$E$800,E333)&gt;1),"DUPLICATE","")</f>
        <v/>
      </c>
    </row>
    <row r="334">
      <c r="AA334" s="5" t="n"/>
      <c r="AB334" s="5" t="n"/>
      <c r="AC334">
        <f>IF(AND(E334&lt;&gt;"",COUNTIF($E$2:$E$800,E334)&gt;1),"DUPLICATE","")</f>
        <v/>
      </c>
    </row>
    <row r="335">
      <c r="AA335" s="5" t="n"/>
      <c r="AB335" s="5" t="n"/>
      <c r="AC335">
        <f>IF(AND(E335&lt;&gt;"",COUNTIF($E$2:$E$800,E335)&gt;1),"DUPLICATE","")</f>
        <v/>
      </c>
    </row>
    <row r="336">
      <c r="AA336" s="5" t="n"/>
      <c r="AB336" s="5" t="n"/>
      <c r="AC336">
        <f>IF(AND(E336&lt;&gt;"",COUNTIF($E$2:$E$800,E336)&gt;1),"DUPLICATE","")</f>
        <v/>
      </c>
    </row>
    <row r="337">
      <c r="AA337" s="5" t="n"/>
      <c r="AB337" s="5" t="n"/>
      <c r="AC337">
        <f>IF(AND(E337&lt;&gt;"",COUNTIF($E$2:$E$800,E337)&gt;1),"DUPLICATE","")</f>
        <v/>
      </c>
    </row>
    <row r="338">
      <c r="AA338" s="5" t="n"/>
      <c r="AB338" s="5" t="n"/>
      <c r="AC338">
        <f>IF(AND(E338&lt;&gt;"",COUNTIF($E$2:$E$800,E338)&gt;1),"DUPLICATE","")</f>
        <v/>
      </c>
    </row>
    <row r="339">
      <c r="AA339" s="5" t="n"/>
      <c r="AB339" s="5" t="n"/>
      <c r="AC339">
        <f>IF(AND(E339&lt;&gt;"",COUNTIF($E$2:$E$800,E339)&gt;1),"DUPLICATE","")</f>
        <v/>
      </c>
    </row>
    <row r="340">
      <c r="AA340" s="5" t="n"/>
      <c r="AB340" s="5" t="n"/>
      <c r="AC340">
        <f>IF(AND(E340&lt;&gt;"",COUNTIF($E$2:$E$800,E340)&gt;1),"DUPLICATE","")</f>
        <v/>
      </c>
    </row>
    <row r="341">
      <c r="AA341" s="5" t="n"/>
      <c r="AB341" s="5" t="n"/>
      <c r="AC341">
        <f>IF(AND(E341&lt;&gt;"",COUNTIF($E$2:$E$800,E341)&gt;1),"DUPLICATE","")</f>
        <v/>
      </c>
    </row>
    <row r="342">
      <c r="AA342" s="5" t="n"/>
      <c r="AB342" s="5" t="n"/>
      <c r="AC342">
        <f>IF(AND(E342&lt;&gt;"",COUNTIF($E$2:$E$800,E342)&gt;1),"DUPLICATE","")</f>
        <v/>
      </c>
    </row>
    <row r="343">
      <c r="AA343" s="5" t="n"/>
      <c r="AB343" s="5" t="n"/>
      <c r="AC343">
        <f>IF(AND(E343&lt;&gt;"",COUNTIF($E$2:$E$800,E343)&gt;1),"DUPLICATE","")</f>
        <v/>
      </c>
    </row>
    <row r="344">
      <c r="AA344" s="5" t="n"/>
      <c r="AB344" s="5" t="n"/>
      <c r="AC344">
        <f>IF(AND(E344&lt;&gt;"",COUNTIF($E$2:$E$800,E344)&gt;1),"DUPLICATE","")</f>
        <v/>
      </c>
    </row>
    <row r="345">
      <c r="AA345" s="5" t="n"/>
      <c r="AB345" s="5" t="n"/>
      <c r="AC345">
        <f>IF(AND(E345&lt;&gt;"",COUNTIF($E$2:$E$800,E345)&gt;1),"DUPLICATE","")</f>
        <v/>
      </c>
    </row>
    <row r="346">
      <c r="AA346" s="5" t="n"/>
      <c r="AB346" s="5" t="n"/>
      <c r="AC346">
        <f>IF(AND(E346&lt;&gt;"",COUNTIF($E$2:$E$800,E346)&gt;1),"DUPLICATE","")</f>
        <v/>
      </c>
    </row>
    <row r="347">
      <c r="AA347" s="5" t="n"/>
      <c r="AB347" s="5" t="n"/>
      <c r="AC347">
        <f>IF(AND(E347&lt;&gt;"",COUNTIF($E$2:$E$800,E347)&gt;1),"DUPLICATE","")</f>
        <v/>
      </c>
    </row>
    <row r="348">
      <c r="AA348" s="5" t="n"/>
      <c r="AB348" s="5" t="n"/>
      <c r="AC348">
        <f>IF(AND(E348&lt;&gt;"",COUNTIF($E$2:$E$800,E348)&gt;1),"DUPLICATE","")</f>
        <v/>
      </c>
    </row>
    <row r="349">
      <c r="AA349" s="5" t="n"/>
      <c r="AB349" s="5" t="n"/>
      <c r="AC349">
        <f>IF(AND(E349&lt;&gt;"",COUNTIF($E$2:$E$800,E349)&gt;1),"DUPLICATE","")</f>
        <v/>
      </c>
    </row>
    <row r="350">
      <c r="AA350" s="5" t="n"/>
      <c r="AB350" s="5" t="n"/>
      <c r="AC350">
        <f>IF(AND(E350&lt;&gt;"",COUNTIF($E$2:$E$800,E350)&gt;1),"DUPLICATE","")</f>
        <v/>
      </c>
    </row>
    <row r="351">
      <c r="AA351" s="5" t="n"/>
      <c r="AB351" s="5" t="n"/>
      <c r="AC351">
        <f>IF(AND(E351&lt;&gt;"",COUNTIF($E$2:$E$800,E351)&gt;1),"DUPLICATE","")</f>
        <v/>
      </c>
    </row>
    <row r="352">
      <c r="AA352" s="5" t="n"/>
      <c r="AB352" s="5" t="n"/>
      <c r="AC352">
        <f>IF(AND(E352&lt;&gt;"",COUNTIF($E$2:$E$800,E352)&gt;1),"DUPLICATE","")</f>
        <v/>
      </c>
    </row>
    <row r="353">
      <c r="AA353" s="5" t="n"/>
      <c r="AB353" s="5" t="n"/>
      <c r="AC353">
        <f>IF(AND(E353&lt;&gt;"",COUNTIF($E$2:$E$800,E353)&gt;1),"DUPLICATE","")</f>
        <v/>
      </c>
    </row>
    <row r="354">
      <c r="AA354" s="5" t="n"/>
      <c r="AB354" s="5" t="n"/>
      <c r="AC354">
        <f>IF(AND(E354&lt;&gt;"",COUNTIF($E$2:$E$800,E354)&gt;1),"DUPLICATE","")</f>
        <v/>
      </c>
    </row>
    <row r="355">
      <c r="AA355" s="5" t="n"/>
      <c r="AB355" s="5" t="n"/>
      <c r="AC355">
        <f>IF(AND(E355&lt;&gt;"",COUNTIF($E$2:$E$800,E355)&gt;1),"DUPLICATE","")</f>
        <v/>
      </c>
    </row>
    <row r="356">
      <c r="AA356" s="5" t="n"/>
      <c r="AB356" s="5" t="n"/>
      <c r="AC356">
        <f>IF(AND(E356&lt;&gt;"",COUNTIF($E$2:$E$800,E356)&gt;1),"DUPLICATE","")</f>
        <v/>
      </c>
    </row>
    <row r="357">
      <c r="AA357" s="5" t="n"/>
      <c r="AB357" s="5" t="n"/>
      <c r="AC357">
        <f>IF(AND(E357&lt;&gt;"",COUNTIF($E$2:$E$800,E357)&gt;1),"DUPLICATE","")</f>
        <v/>
      </c>
    </row>
    <row r="358">
      <c r="AA358" s="5" t="n"/>
      <c r="AB358" s="5" t="n"/>
      <c r="AC358">
        <f>IF(AND(E358&lt;&gt;"",COUNTIF($E$2:$E$800,E358)&gt;1),"DUPLICATE","")</f>
        <v/>
      </c>
    </row>
    <row r="359">
      <c r="AA359" s="5" t="n"/>
      <c r="AB359" s="5" t="n"/>
      <c r="AC359">
        <f>IF(AND(E359&lt;&gt;"",COUNTIF($E$2:$E$800,E359)&gt;1),"DUPLICATE","")</f>
        <v/>
      </c>
    </row>
    <row r="360">
      <c r="AA360" s="5" t="n"/>
      <c r="AB360" s="5" t="n"/>
      <c r="AC360">
        <f>IF(AND(E360&lt;&gt;"",COUNTIF($E$2:$E$800,E360)&gt;1),"DUPLICATE","")</f>
        <v/>
      </c>
    </row>
    <row r="361">
      <c r="AA361" s="5" t="n"/>
      <c r="AB361" s="5" t="n"/>
      <c r="AC361">
        <f>IF(AND(E361&lt;&gt;"",COUNTIF($E$2:$E$800,E361)&gt;1),"DUPLICATE","")</f>
        <v/>
      </c>
    </row>
    <row r="362">
      <c r="AA362" s="5" t="n"/>
      <c r="AB362" s="5" t="n"/>
      <c r="AC362">
        <f>IF(AND(E362&lt;&gt;"",COUNTIF($E$2:$E$800,E362)&gt;1),"DUPLICATE","")</f>
        <v/>
      </c>
    </row>
    <row r="363">
      <c r="AA363" s="5" t="n"/>
      <c r="AB363" s="5" t="n"/>
      <c r="AC363">
        <f>IF(AND(E363&lt;&gt;"",COUNTIF($E$2:$E$800,E363)&gt;1),"DUPLICATE","")</f>
        <v/>
      </c>
    </row>
    <row r="364">
      <c r="AA364" s="5" t="n"/>
      <c r="AB364" s="5" t="n"/>
      <c r="AC364">
        <f>IF(AND(E364&lt;&gt;"",COUNTIF($E$2:$E$800,E364)&gt;1),"DUPLICATE","")</f>
        <v/>
      </c>
    </row>
    <row r="365">
      <c r="AA365" s="5" t="n"/>
      <c r="AB365" s="5" t="n"/>
      <c r="AC365">
        <f>IF(AND(E365&lt;&gt;"",COUNTIF($E$2:$E$800,E365)&gt;1),"DUPLICATE","")</f>
        <v/>
      </c>
    </row>
    <row r="366">
      <c r="AA366" s="5" t="n"/>
      <c r="AB366" s="5" t="n"/>
      <c r="AC366">
        <f>IF(AND(E366&lt;&gt;"",COUNTIF($E$2:$E$800,E366)&gt;1),"DUPLICATE","")</f>
        <v/>
      </c>
    </row>
    <row r="367">
      <c r="AA367" s="5" t="n"/>
      <c r="AB367" s="5" t="n"/>
      <c r="AC367">
        <f>IF(AND(E367&lt;&gt;"",COUNTIF($E$2:$E$800,E367)&gt;1),"DUPLICATE","")</f>
        <v/>
      </c>
    </row>
    <row r="368">
      <c r="AA368" s="5" t="n"/>
      <c r="AB368" s="5" t="n"/>
      <c r="AC368">
        <f>IF(AND(E368&lt;&gt;"",COUNTIF($E$2:$E$800,E368)&gt;1),"DUPLICATE","")</f>
        <v/>
      </c>
    </row>
    <row r="369">
      <c r="AA369" s="5" t="n"/>
      <c r="AB369" s="5" t="n"/>
      <c r="AC369">
        <f>IF(AND(E369&lt;&gt;"",COUNTIF($E$2:$E$800,E369)&gt;1),"DUPLICATE","")</f>
        <v/>
      </c>
    </row>
    <row r="370">
      <c r="AA370" s="5" t="n"/>
      <c r="AB370" s="5" t="n"/>
      <c r="AC370">
        <f>IF(AND(E370&lt;&gt;"",COUNTIF($E$2:$E$800,E370)&gt;1),"DUPLICATE","")</f>
        <v/>
      </c>
    </row>
    <row r="371">
      <c r="AA371" s="5" t="n"/>
      <c r="AB371" s="5" t="n"/>
      <c r="AC371">
        <f>IF(AND(E371&lt;&gt;"",COUNTIF($E$2:$E$800,E371)&gt;1),"DUPLICATE","")</f>
        <v/>
      </c>
    </row>
    <row r="372">
      <c r="AA372" s="5" t="n"/>
      <c r="AB372" s="5" t="n"/>
      <c r="AC372">
        <f>IF(AND(E372&lt;&gt;"",COUNTIF($E$2:$E$800,E372)&gt;1),"DUPLICATE","")</f>
        <v/>
      </c>
    </row>
    <row r="373">
      <c r="AA373" s="5" t="n"/>
      <c r="AB373" s="5" t="n"/>
      <c r="AC373">
        <f>IF(AND(E373&lt;&gt;"",COUNTIF($E$2:$E$800,E373)&gt;1),"DUPLICATE","")</f>
        <v/>
      </c>
    </row>
    <row r="374">
      <c r="AA374" s="5" t="n"/>
      <c r="AB374" s="5" t="n"/>
      <c r="AC374">
        <f>IF(AND(E374&lt;&gt;"",COUNTIF($E$2:$E$800,E374)&gt;1),"DUPLICATE","")</f>
        <v/>
      </c>
    </row>
    <row r="375">
      <c r="AA375" s="5" t="n"/>
      <c r="AB375" s="5" t="n"/>
      <c r="AC375">
        <f>IF(AND(E375&lt;&gt;"",COUNTIF($E$2:$E$800,E375)&gt;1),"DUPLICATE","")</f>
        <v/>
      </c>
    </row>
    <row r="376">
      <c r="AA376" s="5" t="n"/>
      <c r="AB376" s="5" t="n"/>
      <c r="AC376">
        <f>IF(AND(E376&lt;&gt;"",COUNTIF($E$2:$E$800,E376)&gt;1),"DUPLICATE","")</f>
        <v/>
      </c>
    </row>
    <row r="377">
      <c r="AA377" s="5" t="n"/>
      <c r="AB377" s="5" t="n"/>
      <c r="AC377">
        <f>IF(AND(E377&lt;&gt;"",COUNTIF($E$2:$E$800,E377)&gt;1),"DUPLICATE","")</f>
        <v/>
      </c>
    </row>
    <row r="378">
      <c r="AA378" s="5" t="n"/>
      <c r="AB378" s="5" t="n"/>
      <c r="AC378">
        <f>IF(AND(E378&lt;&gt;"",COUNTIF($E$2:$E$800,E378)&gt;1),"DUPLICATE","")</f>
        <v/>
      </c>
    </row>
    <row r="379">
      <c r="AA379" s="5" t="n"/>
      <c r="AB379" s="5" t="n"/>
      <c r="AC379">
        <f>IF(AND(E379&lt;&gt;"",COUNTIF($E$2:$E$800,E379)&gt;1),"DUPLICATE","")</f>
        <v/>
      </c>
    </row>
    <row r="380">
      <c r="AA380" s="5" t="n"/>
      <c r="AB380" s="5" t="n"/>
      <c r="AC380">
        <f>IF(AND(E380&lt;&gt;"",COUNTIF($E$2:$E$800,E380)&gt;1),"DUPLICATE","")</f>
        <v/>
      </c>
    </row>
    <row r="381">
      <c r="AA381" s="5" t="n"/>
      <c r="AB381" s="5" t="n"/>
      <c r="AC381">
        <f>IF(AND(E381&lt;&gt;"",COUNTIF($E$2:$E$800,E381)&gt;1),"DUPLICATE","")</f>
        <v/>
      </c>
    </row>
    <row r="382">
      <c r="AA382" s="5" t="n"/>
      <c r="AB382" s="5" t="n"/>
      <c r="AC382">
        <f>IF(AND(E382&lt;&gt;"",COUNTIF($E$2:$E$800,E382)&gt;1),"DUPLICATE","")</f>
        <v/>
      </c>
    </row>
    <row r="383">
      <c r="AA383" s="5" t="n"/>
      <c r="AB383" s="5" t="n"/>
      <c r="AC383">
        <f>IF(AND(E383&lt;&gt;"",COUNTIF($E$2:$E$800,E383)&gt;1),"DUPLICATE","")</f>
        <v/>
      </c>
    </row>
    <row r="384">
      <c r="AA384" s="5" t="n"/>
      <c r="AB384" s="5" t="n"/>
      <c r="AC384">
        <f>IF(AND(E384&lt;&gt;"",COUNTIF($E$2:$E$800,E384)&gt;1),"DUPLICATE","")</f>
        <v/>
      </c>
    </row>
    <row r="385">
      <c r="AA385" s="5" t="n"/>
      <c r="AB385" s="5" t="n"/>
      <c r="AC385">
        <f>IF(AND(E385&lt;&gt;"",COUNTIF($E$2:$E$800,E385)&gt;1),"DUPLICATE","")</f>
        <v/>
      </c>
    </row>
    <row r="386">
      <c r="AA386" s="5" t="n"/>
      <c r="AB386" s="5" t="n"/>
      <c r="AC386">
        <f>IF(AND(E386&lt;&gt;"",COUNTIF($E$2:$E$800,E386)&gt;1),"DUPLICATE","")</f>
        <v/>
      </c>
    </row>
    <row r="387">
      <c r="AA387" s="5" t="n"/>
      <c r="AB387" s="5" t="n"/>
      <c r="AC387">
        <f>IF(AND(E387&lt;&gt;"",COUNTIF($E$2:$E$800,E387)&gt;1),"DUPLICATE","")</f>
        <v/>
      </c>
    </row>
    <row r="388">
      <c r="AA388" s="5" t="n"/>
      <c r="AB388" s="5" t="n"/>
      <c r="AC388">
        <f>IF(AND(E388&lt;&gt;"",COUNTIF($E$2:$E$800,E388)&gt;1),"DUPLICATE","")</f>
        <v/>
      </c>
    </row>
    <row r="389">
      <c r="AA389" s="5" t="n"/>
      <c r="AB389" s="5" t="n"/>
      <c r="AC389">
        <f>IF(AND(E389&lt;&gt;"",COUNTIF($E$2:$E$800,E389)&gt;1),"DUPLICATE","")</f>
        <v/>
      </c>
    </row>
    <row r="390">
      <c r="AA390" s="5" t="n"/>
      <c r="AB390" s="5" t="n"/>
      <c r="AC390">
        <f>IF(AND(E390&lt;&gt;"",COUNTIF($E$2:$E$800,E390)&gt;1),"DUPLICATE","")</f>
        <v/>
      </c>
    </row>
    <row r="391">
      <c r="AA391" s="5" t="n"/>
      <c r="AB391" s="5" t="n"/>
      <c r="AC391">
        <f>IF(AND(E391&lt;&gt;"",COUNTIF($E$2:$E$800,E391)&gt;1),"DUPLICATE","")</f>
        <v/>
      </c>
    </row>
    <row r="392">
      <c r="AA392" s="5" t="n"/>
      <c r="AB392" s="5" t="n"/>
      <c r="AC392">
        <f>IF(AND(E392&lt;&gt;"",COUNTIF($E$2:$E$800,E392)&gt;1),"DUPLICATE","")</f>
        <v/>
      </c>
    </row>
    <row r="393">
      <c r="AA393" s="5" t="n"/>
      <c r="AB393" s="5" t="n"/>
      <c r="AC393">
        <f>IF(AND(E393&lt;&gt;"",COUNTIF($E$2:$E$800,E393)&gt;1),"DUPLICATE","")</f>
        <v/>
      </c>
    </row>
    <row r="394">
      <c r="AA394" s="5" t="n"/>
      <c r="AB394" s="5" t="n"/>
      <c r="AC394">
        <f>IF(AND(E394&lt;&gt;"",COUNTIF($E$2:$E$800,E394)&gt;1),"DUPLICATE","")</f>
        <v/>
      </c>
    </row>
    <row r="395">
      <c r="AA395" s="5" t="n"/>
      <c r="AB395" s="5" t="n"/>
      <c r="AC395">
        <f>IF(AND(E395&lt;&gt;"",COUNTIF($E$2:$E$800,E395)&gt;1),"DUPLICATE","")</f>
        <v/>
      </c>
    </row>
    <row r="396">
      <c r="AA396" s="5" t="n"/>
      <c r="AB396" s="5" t="n"/>
      <c r="AC396">
        <f>IF(AND(E396&lt;&gt;"",COUNTIF($E$2:$E$800,E396)&gt;1),"DUPLICATE","")</f>
        <v/>
      </c>
    </row>
    <row r="397">
      <c r="AA397" s="5" t="n"/>
      <c r="AB397" s="5" t="n"/>
      <c r="AC397">
        <f>IF(AND(E397&lt;&gt;"",COUNTIF($E$2:$E$800,E397)&gt;1),"DUPLICATE","")</f>
        <v/>
      </c>
    </row>
    <row r="398">
      <c r="AA398" s="5" t="n"/>
      <c r="AB398" s="5" t="n"/>
      <c r="AC398">
        <f>IF(AND(E398&lt;&gt;"",COUNTIF($E$2:$E$800,E398)&gt;1),"DUPLICATE","")</f>
        <v/>
      </c>
    </row>
    <row r="399">
      <c r="AA399" s="5" t="n"/>
      <c r="AB399" s="5" t="n"/>
      <c r="AC399">
        <f>IF(AND(E399&lt;&gt;"",COUNTIF($E$2:$E$800,E399)&gt;1),"DUPLICATE","")</f>
        <v/>
      </c>
    </row>
    <row r="400">
      <c r="AA400" s="5" t="n"/>
      <c r="AB400" s="5" t="n"/>
      <c r="AC400">
        <f>IF(AND(E400&lt;&gt;"",COUNTIF($E$2:$E$800,E400)&gt;1),"DUPLICATE","")</f>
        <v/>
      </c>
    </row>
  </sheetData>
  <conditionalFormatting sqref="E2:E800">
    <cfRule type="expression" priority="1" dxfId="0">
      <formula>AND($E2&lt;&gt;"",COUNTIF($E$2:$E$800,$E2)&gt;1)</formula>
    </cfRule>
  </conditionalFormatting>
  <dataValidations count="5">
    <dataValidation sqref="B2:B800" showDropDown="0" showInputMessage="0" showErrorMessage="0" allowBlank="1" type="list">
      <formula1>"Open,Closed,Hidden"</formula1>
    </dataValidation>
    <dataValidation sqref="C2:C800" showDropDown="0" showInputMessage="0" showErrorMessage="0" allowBlank="1" type="list">
      <formula1>"Yes"</formula1>
    </dataValidation>
    <dataValidation sqref="D2:D800" showDropDown="0" showInputMessage="0" showErrorMessage="0" allowBlank="1" type="list">
      <formula1>"Scholarship,Internship"</formula1>
    </dataValidation>
    <dataValidation sqref="G2:G800" showDropDown="0" showInputMessage="0" showErrorMessage="0" allowBlank="1" type="list">
      <formula1>"Africa,Asia,Europe,North America,Latin America &amp; Caribbean,Oceania"</formula1>
    </dataValidation>
    <dataValidation sqref="K2:K800" showDropDown="0" showInputMessage="0" showErrorMessage="0" allowBlank="1" type="list">
      <formula1>"Full,Stipend,Partial"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
  <sheetViews>
    <sheetView topLeftCell="B1" workbookViewId="0">
      <pane ySplit="1" topLeftCell="A2" activePane="bottomLeft" state="frozen"/>
      <selection pane="bottomLeft" activeCell="E4" sqref="E4"/>
    </sheetView>
  </sheetViews>
  <sheetFormatPr baseColWidth="8" defaultRowHeight="14.4"/>
  <cols>
    <col width="55.44140625" customWidth="1" min="1" max="1"/>
    <col width="18" customWidth="1" min="2" max="4"/>
    <col width="50" customWidth="1" min="5" max="5"/>
    <col width="18" customWidth="1" min="6" max="7"/>
    <col width="30" customWidth="1" min="8" max="8"/>
    <col width="34" customWidth="1" min="9" max="9"/>
    <col width="26" customWidth="1" min="10" max="10"/>
  </cols>
  <sheetData>
    <row r="1">
      <c r="A1" s="2" t="inlineStr">
        <is>
          <t>Title</t>
        </is>
      </c>
      <c r="B1" s="2" t="inlineStr">
        <is>
          <t>Date</t>
        </is>
      </c>
      <c r="C1" s="2" t="inlineStr">
        <is>
          <t>Time</t>
        </is>
      </c>
      <c r="D1" s="2" t="inlineStr">
        <is>
          <t>Status</t>
        </is>
      </c>
      <c r="E1" s="2" t="inlineStr">
        <is>
          <t>Topic</t>
        </is>
      </c>
      <c r="F1" s="2" t="inlineStr">
        <is>
          <t>Speaker</t>
        </is>
      </c>
      <c r="G1" s="2" t="inlineStr">
        <is>
          <t>Attendees</t>
        </is>
      </c>
      <c r="H1" s="2" t="inlineStr">
        <is>
          <t>Register link</t>
        </is>
      </c>
      <c r="I1" s="2" t="inlineStr">
        <is>
          <t>Recording (YouTube link)</t>
        </is>
      </c>
      <c r="J1" s="2" t="inlineStr">
        <is>
          <t>Cover photo</t>
        </is>
      </c>
    </row>
    <row r="2">
      <c r="A2" t="inlineStr">
        <is>
          <t>EXAMPLE: How to win a fully funded Master's scholarship</t>
        </is>
      </c>
      <c r="B2" t="inlineStr">
        <is>
          <t>2026-11-20</t>
        </is>
      </c>
      <c r="C2" t="inlineStr">
        <is>
          <t>7:00 PM (Germany time)</t>
        </is>
      </c>
      <c r="D2" t="inlineStr">
        <is>
          <t>Draft</t>
        </is>
      </c>
      <c r="E2" t="inlineStr">
        <is>
          <t>What committees look for, how to write your SOP, live Q&amp;A</t>
        </is>
      </c>
      <c r="F2" t="inlineStr">
        <is>
          <t>Your name</t>
        </is>
      </c>
      <c r="H2" t="inlineStr">
        <is>
          <t>https://forms.gle/your-registration-form</t>
        </is>
      </c>
      <c r="J2" t="inlineStr">
        <is>
          <t>images/seminar-1.jpg</t>
        </is>
      </c>
    </row>
    <row r="3">
      <c r="B3" s="6" t="n">
        <v>46341</v>
      </c>
      <c r="D3" t="inlineStr">
        <is>
          <t>Upcoming</t>
        </is>
      </c>
      <c r="E3" t="inlineStr">
        <is>
          <t>Higher Study Abroad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D2" sqref="D2"/>
    </sheetView>
  </sheetViews>
  <sheetFormatPr baseColWidth="8" defaultRowHeight="14.4"/>
  <cols>
    <col width="18" customWidth="1" min="1" max="2"/>
    <col width="44" customWidth="1" min="3" max="3"/>
    <col width="70" customWidth="1" min="4" max="4"/>
    <col width="30" customWidth="1" min="5" max="5"/>
    <col width="18" customWidth="1" min="6" max="6"/>
  </cols>
  <sheetData>
    <row r="1">
      <c r="A1" s="2" t="inlineStr">
        <is>
          <t>Date</t>
        </is>
      </c>
      <c r="B1" s="2" t="inlineStr">
        <is>
          <t>Category</t>
        </is>
      </c>
      <c r="C1" s="2" t="inlineStr">
        <is>
          <t>Title</t>
        </is>
      </c>
      <c r="D1" s="2" t="inlineStr">
        <is>
          <t>Summary</t>
        </is>
      </c>
      <c r="E1" s="2" t="inlineStr">
        <is>
          <t>Link</t>
        </is>
      </c>
      <c r="F1" s="2" t="inlineStr">
        <is>
          <t>Pinned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4.4"/>
  <cols>
    <col width="34" customWidth="1" min="1" max="1"/>
    <col width="40" customWidth="1" min="2" max="2"/>
    <col width="60" customWidth="1" min="3" max="3"/>
    <col width="18" customWidth="1" min="4" max="4"/>
  </cols>
  <sheetData>
    <row r="1">
      <c r="A1" s="2" t="inlineStr">
        <is>
          <t>YouTube</t>
        </is>
      </c>
      <c r="B1" s="2" t="inlineStr">
        <is>
          <t>Title</t>
        </is>
      </c>
      <c r="C1" s="2" t="inlineStr">
        <is>
          <t>Description</t>
        </is>
      </c>
      <c r="D1" s="2" t="inlineStr">
        <is>
          <t>Category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C8" sqref="C8"/>
    </sheetView>
  </sheetViews>
  <sheetFormatPr baseColWidth="8" defaultRowHeight="14.4"/>
  <cols>
    <col width="18" customWidth="1" min="1" max="2"/>
    <col width="30" customWidth="1" min="3" max="3"/>
    <col width="80" customWidth="1" min="4" max="4"/>
    <col width="18" customWidth="1" min="5" max="7"/>
  </cols>
  <sheetData>
    <row r="1">
      <c r="A1" s="2" t="inlineStr">
        <is>
          <t>Name</t>
        </is>
      </c>
      <c r="B1" s="2" t="inlineStr">
        <is>
          <t>Country</t>
        </is>
      </c>
      <c r="C1" s="2" t="inlineStr">
        <is>
          <t>Result</t>
        </is>
      </c>
      <c r="D1" s="2" t="inlineStr">
        <is>
          <t>Review</t>
        </is>
      </c>
      <c r="E1" s="2" t="inlineStr">
        <is>
          <t>Rating</t>
        </is>
      </c>
      <c r="F1" s="2" t="inlineStr">
        <is>
          <t>Photo</t>
        </is>
      </c>
      <c r="G1" s="2" t="inlineStr">
        <is>
          <t>Approved</t>
        </is>
      </c>
    </row>
    <row r="2">
      <c r="A2" t="inlineStr">
        <is>
          <t>Fatema</t>
        </is>
      </c>
      <c r="B2" t="inlineStr">
        <is>
          <t>Bangladesh</t>
        </is>
      </c>
      <c r="C2" t="inlineStr">
        <is>
          <t>SOP review</t>
        </is>
      </c>
      <c r="D2" t="inlineStr">
        <is>
          <t>The guidance I received from you was truly helpful. You reviewed all the information in great detail, which helped me prepare a well-structured and polished SOP. Thank you for your thorough guidance and support.</t>
        </is>
      </c>
      <c r="E2" t="n">
        <v>5</v>
      </c>
      <c r="G2" t="inlineStr">
        <is>
          <t>Yes</t>
        </is>
      </c>
    </row>
    <row r="3">
      <c r="A3" t="inlineStr">
        <is>
          <t>Fariha</t>
        </is>
      </c>
      <c r="B3" t="inlineStr">
        <is>
          <t>Bangladesh</t>
        </is>
      </c>
      <c r="C3" t="inlineStr">
        <is>
          <t>SOP review</t>
        </is>
      </c>
      <c r="D3" t="inlineStr">
        <is>
          <t xml:space="preserve">I was worried my SOP didn’t show my story clearly. Unipilot Global gave me detailed feedback on it. After the review, my SOP was much stronger, and I also won the EMJM scholarship. </t>
        </is>
      </c>
      <c r="E3" t="n">
        <v>5</v>
      </c>
      <c r="G3" t="inlineStr">
        <is>
          <t>Yes</t>
        </is>
      </c>
    </row>
    <row r="4">
      <c r="A4" t="inlineStr">
        <is>
          <t>Esha</t>
        </is>
      </c>
      <c r="B4" t="inlineStr">
        <is>
          <t>Bangladesh</t>
        </is>
      </c>
      <c r="C4" t="inlineStr">
        <is>
          <t>Seminar</t>
        </is>
      </c>
      <c r="D4" t="inlineStr">
        <is>
          <t>I joined the free seminar. They explained all the details clearly.</t>
        </is>
      </c>
    </row>
    <row r="5">
      <c r="A5" t="inlineStr">
        <is>
          <t>Mohammed Abbas</t>
        </is>
      </c>
      <c r="B5" t="inlineStr">
        <is>
          <t>Pakistan</t>
        </is>
      </c>
      <c r="C5" t="inlineStr">
        <is>
          <t>CV and SOP</t>
        </is>
      </c>
      <c r="D5" t="inlineStr">
        <is>
          <t xml:space="preserve">I took one to one session. It was very helpful for me. </t>
        </is>
      </c>
      <c r="E5" t="n">
        <v>5</v>
      </c>
      <c r="G5" t="inlineStr">
        <is>
          <t>Yes</t>
        </is>
      </c>
    </row>
    <row r="6">
      <c r="A6" t="inlineStr">
        <is>
          <t>Edith</t>
        </is>
      </c>
      <c r="B6" t="inlineStr">
        <is>
          <t xml:space="preserve">South Africa </t>
        </is>
      </c>
      <c r="C6" t="inlineStr">
        <is>
          <t>Interview Prep</t>
        </is>
      </c>
      <c r="D6" t="inlineStr">
        <is>
          <t xml:space="preserve">The session was really help me to win a full funded scholarship. </t>
        </is>
      </c>
      <c r="E6" t="n">
        <v>5</v>
      </c>
      <c r="G6" t="inlineStr">
        <is>
          <t>Yes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
  <sheetViews>
    <sheetView workbookViewId="0">
      <selection activeCell="A1" sqref="A1"/>
    </sheetView>
  </sheetViews>
  <sheetFormatPr baseColWidth="8" defaultRowHeight="15"/>
  <cols>
    <col width="38" customWidth="1" min="1" max="1"/>
    <col width="12" customWidth="1" min="2" max="2"/>
    <col width="50" customWidth="1" min="3" max="3"/>
    <col width="44" customWidth="1" min="4" max="4"/>
    <col width="40" customWidth="1" min="5" max="5"/>
    <col width="16" customWidth="1" min="6" max="6"/>
    <col width="12" customWidth="1" min="7" max="7"/>
    <col width="10" customWidth="1" min="8" max="8"/>
    <col width="12" customWidth="1" min="9" max="9"/>
  </cols>
  <sheetData>
    <row r="1">
      <c r="A1" t="inlineStr">
        <is>
          <t>Title</t>
        </is>
      </c>
      <c r="B1" t="inlineStr">
        <is>
          <t>Type</t>
        </is>
      </c>
      <c r="C1" t="inlineStr">
        <is>
          <t>Description</t>
        </is>
      </c>
      <c r="D1" t="inlineStr">
        <is>
          <t>Link</t>
        </is>
      </c>
      <c r="E1" t="inlineStr">
        <is>
          <t>Related scholarships</t>
        </is>
      </c>
      <c r="F1" t="inlineStr">
        <is>
          <t>Category</t>
        </is>
      </c>
      <c r="G1" t="inlineStr">
        <is>
          <t>Added on</t>
        </is>
      </c>
      <c r="H1" t="inlineStr">
        <is>
          <t>Featured</t>
        </is>
      </c>
      <c r="I1" t="inlineStr">
        <is>
          <t>Status</t>
        </is>
      </c>
    </row>
    <row r="2">
      <c r="A2" t="inlineStr">
        <is>
          <t>EXAMPLE: SOP template for scholarships</t>
        </is>
      </c>
      <c r="B2" t="inlineStr">
        <is>
          <t>Template</t>
        </is>
      </c>
      <c r="C2" t="inlineStr">
        <is>
          <t>A simple structure for a Statement of Purpose, with sample paragraphs.</t>
        </is>
      </c>
      <c r="D2" t="inlineStr">
        <is>
          <t>https://drive.google.com/your-share-link</t>
        </is>
      </c>
      <c r="E2" t="inlineStr">
        <is>
          <t>All</t>
        </is>
      </c>
      <c r="F2" t="inlineStr">
        <is>
          <t>Applications</t>
        </is>
      </c>
      <c r="G2" t="inlineStr">
        <is>
          <t>2026-10-20</t>
        </is>
      </c>
      <c r="H2" t="inlineStr">
        <is>
          <t>Yes</t>
        </is>
      </c>
      <c r="I2" t="inlineStr">
        <is>
          <t>Draft</t>
        </is>
      </c>
    </row>
    <row r="3">
      <c r="A3" t="inlineStr">
        <is>
          <t>EXAMPLE: DAAD application checklist</t>
        </is>
      </c>
      <c r="B3" t="inlineStr">
        <is>
          <t>Checklist</t>
        </is>
      </c>
      <c r="C3" t="inlineStr">
        <is>
          <t>Every document and step, in order.</t>
        </is>
      </c>
      <c r="D3" t="inlineStr">
        <is>
          <t>https://drive.google.com/your-share-link</t>
        </is>
      </c>
      <c r="E3" t="inlineStr">
        <is>
          <t>DAAD | Mastercard Foundation Scholars Program</t>
        </is>
      </c>
      <c r="F3" t="inlineStr">
        <is>
          <t>Applications</t>
        </is>
      </c>
      <c r="G3" t="inlineStr">
        <is>
          <t>2026-10-20</t>
        </is>
      </c>
      <c r="I3" t="inlineStr">
        <is>
          <t>Draft</t>
        </is>
      </c>
    </row>
  </sheetData>
  <dataValidations count="2">
    <dataValidation sqref="B2:B500" showDropDown="0" showInputMessage="0" showErrorMessage="0" allowBlank="1" type="list">
      <formula1>"Guide,Template,Checklist,Sample,Video,Course"</formula1>
    </dataValidation>
    <dataValidation sqref="I2:I500" showDropDown="0" showInputMessage="0" showErrorMessage="0" allowBlank="1" type="list">
      <formula1>"Published,Hidden,Draft"</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D7" sqref="D7"/>
    </sheetView>
  </sheetViews>
  <sheetFormatPr baseColWidth="8" defaultRowHeight="14.4"/>
  <cols>
    <col width="32" customWidth="1" min="1" max="1"/>
    <col width="18" customWidth="1" min="2" max="3"/>
    <col width="70" customWidth="1" min="4" max="4"/>
    <col width="18" customWidth="1" min="5" max="5"/>
  </cols>
  <sheetData>
    <row r="1">
      <c r="A1" s="2" t="inlineStr">
        <is>
          <t>Field</t>
        </is>
      </c>
      <c r="B1" s="2" t="inlineStr">
        <is>
          <t>Name</t>
        </is>
      </c>
      <c r="C1" s="2" t="inlineStr">
        <is>
          <t>Role</t>
        </is>
      </c>
      <c r="D1" s="2" t="inlineStr">
        <is>
          <t>About</t>
        </is>
      </c>
      <c r="E1" s="2" t="inlineStr">
        <is>
          <t>Photo</t>
        </is>
      </c>
    </row>
    <row r="2">
      <c r="A2" t="inlineStr">
        <is>
          <t>Engineering &amp; Technology</t>
        </is>
      </c>
      <c r="B2" t="inlineStr">
        <is>
          <t>Md Abdur Rahman</t>
        </is>
      </c>
      <c r="C2" t="inlineStr">
        <is>
          <t xml:space="preserve">Consultant </t>
        </is>
      </c>
      <c r="D2" t="inlineStr">
        <is>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4.4"/>
  <cols>
    <col width="20" customWidth="1" min="1" max="1"/>
    <col width="28" customWidth="1" min="2" max="2"/>
    <col width="30" customWidth="1" min="3" max="3"/>
    <col width="60" customWidth="1" min="4" max="4"/>
    <col width="40" customWidth="1" min="5" max="5"/>
    <col width="60" customWidth="1" min="6" max="6"/>
    <col width="16" customWidth="1" min="7" max="7"/>
  </cols>
  <sheetData>
    <row r="1">
      <c r="A1" s="2" t="inlineStr">
        <is>
          <t>Country</t>
        </is>
      </c>
      <c r="B1" s="2" t="inlineStr">
        <is>
          <t>Visa type</t>
        </is>
      </c>
      <c r="C1" s="2" t="inlineStr">
        <is>
          <t>Processing time</t>
        </is>
      </c>
      <c r="D1" s="2" t="inlineStr">
        <is>
          <t>Key documents</t>
        </is>
      </c>
      <c r="E1" s="2" t="inlineStr">
        <is>
          <t>Official link</t>
        </is>
      </c>
      <c r="F1" s="2" t="inlineStr">
        <is>
          <t>Notes</t>
        </is>
      </c>
      <c r="G1" s="2" t="inlineStr">
        <is>
          <t>Last checked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C9" sqref="C9"/>
    </sheetView>
  </sheetViews>
  <sheetFormatPr baseColWidth="8" defaultRowHeight="14.4"/>
  <cols>
    <col width="22" customWidth="1" min="1" max="1"/>
    <col width="34" customWidth="1" min="2" max="2"/>
    <col width="80" customWidth="1" min="3" max="3"/>
  </cols>
  <sheetData>
    <row r="1">
      <c r="A1" s="2" t="inlineStr">
        <is>
          <t>Key</t>
        </is>
      </c>
      <c r="B1" s="2" t="inlineStr">
        <is>
          <t>Value</t>
        </is>
      </c>
      <c r="C1" s="2" t="inlineStr">
        <is>
          <t>Notes</t>
        </is>
      </c>
    </row>
    <row r="2">
      <c r="A2" t="inlineStr">
        <is>
          <t>students_base</t>
        </is>
      </c>
      <c r="B2" t="n">
        <v>3000</v>
      </c>
      <c r="C2" t="inlineStr">
        <is>
          <t>Students already guided. The website adds +1 per submitted form (needs the email script).</t>
        </is>
      </c>
    </row>
    <row r="3">
      <c r="A3" t="inlineStr">
        <is>
          <t>seminars_held</t>
        </is>
      </c>
      <c r="B3" t="n">
        <v>20</v>
      </c>
      <c r="C3" t="inlineStr">
        <is>
          <t>Free seminars held so far (optional)</t>
        </is>
      </c>
    </row>
    <row r="4">
      <c r="A4" t="inlineStr">
        <is>
          <t>years_experience</t>
        </is>
      </c>
      <c r="C4" t="inlineStr">
        <is>
          <t>e.g. 5 (shown only if filled)</t>
        </is>
      </c>
    </row>
    <row r="5">
      <c r="A5" t="inlineStr">
        <is>
          <t>whatsapp</t>
        </is>
      </c>
      <c r="B5" t="inlineStr">
        <is>
          <t>4915214232206</t>
        </is>
      </c>
      <c r="C5" t="inlineStr">
        <is>
          <t>Digits only with country code</t>
        </is>
      </c>
    </row>
    <row r="6">
      <c r="A6" t="inlineStr">
        <is>
          <t>youtube_channel</t>
        </is>
      </c>
      <c r="C6" t="inlineStr">
        <is>
          <t>Your channel link</t>
        </is>
      </c>
    </row>
    <row r="7">
      <c r="A7" t="inlineStr">
        <is>
          <t>default_video</t>
        </is>
      </c>
      <c r="C7" t="inlineStr">
        <is>
          <t>General "how to apply" video link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2026-10-17T07:57:11Z</dcterms:created>
  <dcterms:modified xmlns:dcterms="http://purl.org/dc/terms/" xmlns:xsi="http://www.w3.org/2001/XMLSchema-instance" xsi:type="dcterms:W3CDTF">2026-10-18T10:18:37Z</dcterms:modified>
  <cp:lastModifiedBy>HP</cp:lastModifiedBy>
</cp:coreProperties>
</file>